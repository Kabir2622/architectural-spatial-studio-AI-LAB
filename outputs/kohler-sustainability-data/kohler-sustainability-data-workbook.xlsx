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dc88e884a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A Product Check" sheetId="1" r:id="Ra829703d57944910"/>
    <x:sheet xmlns:r="http://schemas.openxmlformats.org/officeDocument/2006/relationships" name="Start Here" sheetId="2" r:id="R9ede3e5b3bae4c3a"/>
    <x:sheet xmlns:r="http://schemas.openxmlformats.org/officeDocument/2006/relationships" name="Catalog" sheetId="3" r:id="Rb715b6adcbce49e4"/>
    <x:sheet xmlns:r="http://schemas.openxmlformats.org/officeDocument/2006/relationships" name="Verified Data" sheetId="4" r:id="R20563062fb374873"/>
    <x:sheet xmlns:r="http://schemas.openxmlformats.org/officeDocument/2006/relationships" name="Scenario Inputs" sheetId="5" r:id="Racb6e543dc894aa9"/>
    <x:sheet xmlns:r="http://schemas.openxmlformats.org/officeDocument/2006/relationships" name="Eco Estimates" sheetId="6" r:id="R80a2fa0e819c4ce1"/>
    <x:sheet xmlns:r="http://schemas.openxmlformats.org/officeDocument/2006/relationships" name="Bundle Compare" sheetId="7" r:id="R6780c6cfcef64f5d"/>
    <x:sheet xmlns:r="http://schemas.openxmlformats.org/officeDocument/2006/relationships" name="Sources &amp; Method" sheetId="8" r:id="R5235ea154d07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"/>
    <x:numFmt numFmtId="202" formatCode="0.00"/>
    <x:numFmt numFmtId="203" formatCode="0.0"/>
    <x:numFmt numFmtId="204" formatCode="0.000"/>
    <x:numFmt numFmtId="205" formatCode="#,##0.0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22033"/>
      <x:name val="Arial"/>
    </x:font>
    <x:font>
      <x:i/>
      <x:sz val="9"/>
      <x:color rgb="FF475569"/>
      <x:name val="Arial"/>
    </x:font>
    <x:font>
      <x:b/>
      <x:sz val="10"/>
      <x:color rgb="FFFFFFFF"/>
      <x:name val="Arial"/>
    </x:font>
    <x:font>
      <x:b/>
      <x:sz val="10"/>
      <x:color rgb="FF122033"/>
      <x:name val="Arial"/>
    </x:font>
    <x:font>
      <x:b/>
      <x:sz val="10"/>
      <x:color rgb="FF0F766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8F0F7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202" fontId="0" fillId="2" borderId="0" xfId="0" applyNumberFormat="1" applyFont="1" applyFill="1" applyBorder="1" applyAlignment="1">
      <x:alignment vertical="center"/>
    </x:xf>
    <x:xf numFmtId="201" fontId="0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203" fontId="0" fillId="2" borderId="0" xfId="0" applyNumberFormat="1" applyFont="1" applyFill="1" applyBorder="1"/>
    <x:xf numFmtId="202" fontId="0" fillId="2" borderId="0" xfId="0" applyNumberFormat="1" applyFont="1" applyFill="1" applyBorder="1"/>
    <x:xf numFmtId="204" fontId="0" fillId="2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205" fontId="0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1" fontId="5" fillId="0" borderId="0" xfId="0" applyNumberFormat="1" applyFont="1" applyFill="1" applyBorder="1"/>
    <x:xf numFmtId="205" fontId="5" fillId="0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c196943534a8b" /><Relationship Type="http://schemas.openxmlformats.org/officeDocument/2006/relationships/theme" Target="/xl/theme/theme1.xml" Id="R26303ddaa2a2412f" /><Relationship Type="http://schemas.openxmlformats.org/officeDocument/2006/relationships/sharedStrings" Target="/xl/sharedStrings.xml" Id="R1f769c7496c841ad" /><Relationship Type="http://schemas.openxmlformats.org/officeDocument/2006/relationships/worksheet" Target="/xl/worksheets/sheet1.xml" Id="Ra829703d57944910" /><Relationship Type="http://schemas.openxmlformats.org/officeDocument/2006/relationships/worksheet" Target="/xl/worksheets/sheet2.xml" Id="R9ede3e5b3bae4c3a" /><Relationship Type="http://schemas.openxmlformats.org/officeDocument/2006/relationships/worksheet" Target="/xl/worksheets/sheet3.xml" Id="Rb715b6adcbce49e4" /><Relationship Type="http://schemas.openxmlformats.org/officeDocument/2006/relationships/worksheet" Target="/xl/worksheets/sheet4.xml" Id="R20563062fb374873" /><Relationship Type="http://schemas.openxmlformats.org/officeDocument/2006/relationships/worksheet" Target="/xl/worksheets/sheet5.xml" Id="Racb6e543dc894aa9" /><Relationship Type="http://schemas.openxmlformats.org/officeDocument/2006/relationships/worksheet" Target="/xl/worksheets/sheet6.xml" Id="R80a2fa0e819c4ce1" /><Relationship Type="http://schemas.openxmlformats.org/officeDocument/2006/relationships/worksheet" Target="/xl/worksheets/sheet7.xml" Id="R6780c6cfcef64f5d" /><Relationship Type="http://schemas.openxmlformats.org/officeDocument/2006/relationships/worksheet" Target="/xl/worksheets/sheet8.xml" Id="R5235ea154d07437d" /></Relationships>
</file>

<file path=xl/tables/table1.xml><?xml version="1.0" encoding="utf-8"?>
<x:table xmlns:x="http://schemas.openxmlformats.org/spreadsheetml/2006/main" id="1" name="EPAProductChecks" displayName="EPAProductChecks" ref="A5:O55" headerRowCount="1" totalsRowCount="0" totalsRowShown="0">
  <x:tableColumns count="15">
    <x:tableColumn id="1" name="App category"/>
    <x:tableColumn id="2" name="App model ID"/>
    <x:tableColumn id="3" name="Product name in app"/>
    <x:tableColumn id="4" name="App rate / flush (unverified)"/>
    <x:tableColumn id="5" name="EPA match assessment"/>
    <x:tableColumn id="6" name="EPA listed model name(s)"/>
    <x:tableColumn id="7" name="EPA listed model number(s)"/>
    <x:tableColumn id="8" name="EPA max flow (GPM)"/>
    <x:tableColumn id="9" name="EPA flush volume (GPF)"/>
    <x:tableColumn id="10" name="EPA product type"/>
    <x:tableColumn id="11" name="EPA flush type"/>
    <x:tableColumn id="12" name="EPA flush mechanism"/>
    <x:tableColumn id="13" name="EPA category source URL"/>
    <x:tableColumn id="14" name="EPA export checked"/>
    <x:tableColumn id="15" name="Review / claim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Catalog" displayName="ProjectCatalog" ref="A5:J55" headerRowCount="1" totalsRowCount="0" totalsRowShown="0">
  <x:tableColumns count="10">
    <x:tableColumn id="1" name="Category"/>
    <x:tableColumn id="2" name="App model ID"/>
    <x:tableColumn id="3" name="Product name in app"/>
    <x:tableColumn id="4" name="App price (USD)"/>
    <x:tableColumn id="5" name="App flow / flush text"/>
    <x:tableColumn id="6" name="App width (in)"/>
    <x:tableColumn id="7" name="App depth (in)"/>
    <x:tableColumn id="8" name="App features (as supplied)"/>
    <x:tableColumn id="9" name="Catalog source"/>
    <x:tableColumn id="10" name="Verific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edProductData" displayName="VerifiedProductData" ref="A5:X55" headerRowCount="1" totalsRowCount="0" totalsRowShown="0">
  <x:tableColumns count="24">
    <x:tableColumn id="1" name="App model ID"/>
    <x:tableColumn id="2" name="App product name"/>
    <x:tableColumn id="3" name="Category"/>
    <x:tableColumn id="4" name="Model verified?"/>
    <x:tableColumn id="5" name="Verified Kohler model / variant"/>
    <x:tableColumn id="6" name="Official Kohler product URL"/>
    <x:tableColumn id="7" name="Verified date"/>
    <x:tableColumn id="8" name="Verified flow (GPM)"/>
    <x:tableColumn id="9" name="Verified effective flush (GPF)"/>
    <x:tableColumn id="10" name="WaterSense status"/>
    <x:tableColumn id="11" name="EPA matched model"/>
    <x:tableColumn id="12" name="EPA source URL"/>
    <x:tableColumn id="13" name="EPA checked date"/>
    <x:tableColumn id="14" name="EPD status"/>
    <x:tableColumn id="15" name="EPD URL / declaration ID"/>
    <x:tableColumn id="16" name="EPD declared unit"/>
    <x:tableColumn id="17" name="EPD GWP (kg CO2e/unit)"/>
    <x:tableColumn id="18" name="Recycled content (%)"/>
    <x:tableColumn id="19" name="Material / durability evidence"/>
    <x:tableColumn id="20" name="Warranty / repair-parts source"/>
    <x:tableColumn id="21" name="Reviewer notes"/>
    <x:tableColumn id="22" name="Verified price (USD)"/>
    <x:tableColumn id="23" name="Verified width (in)"/>
    <x:tableColumn id="24" name="Verified depth (in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arioAssumptions" displayName="ScenarioAssumptions" ref="A5:D19" headerRowCount="1" totalsRowCount="0" totalsRowShown="0">
  <x:tableColumns count="4">
    <x:tableColumn id="1" name="Assumption"/>
    <x:tableColumn id="2" name="Value"/>
    <x:tableColumn id="3" name="Unit"/>
    <x:tableColumn id="4" name="Source /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ProductEstimates" displayName="PerProductEstimates" ref="A5:H55" headerRowCount="1" totalsRowCount="0" totalsRowShown="0">
  <x:tableColumns count="8">
    <x:tableColumn id="1" name="App model ID"/>
    <x:tableColumn id="2" name="Product"/>
    <x:tableColumn id="3" name="Category"/>
    <x:tableColumn id="4" name="Data status"/>
    <x:tableColumn id="5" name="Verified target rate (GPM)"/>
    <x:tableColumn id="6" name="Verified target flush (GPF)"/>
    <x:tableColumn id="7" name="Water saved (gal/year)"/>
    <x:tableColumn id="8" name="Water-heating energy saved (kWh/year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ndleComparison" displayName="BundleComparison" ref="A5:M8" headerRowCount="1" totalsRowCount="0" totalsRowShown="0">
  <x:tableColumns count="13">
    <x:tableColumn id="1" name="Category"/>
    <x:tableColumn id="2" name="Standard model ID (input)"/>
    <x:tableColumn id="3" name="Eco model ID (input)"/>
    <x:tableColumn id="4" name="Standard verified?"/>
    <x:tableColumn id="5" name="Eco verified?"/>
    <x:tableColumn id="6" name="Standard price (USD)"/>
    <x:tableColumn id="7" name="Eco price (USD)"/>
    <x:tableColumn id="8" name="Upfront price difference (USD)"/>
    <x:tableColumn id="9" name="Standard water use (gal/yr)"/>
    <x:tableColumn id="10" name="Eco water use (gal/yr)"/>
    <x:tableColumn id="11" name="Water saved (gal/yr)"/>
    <x:tableColumn id="12" name="Water + sewer savings (USD/yr)"/>
    <x:tableColumn id="13" name="Simple payback (years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Sources" displayName="EvidenceSources" ref="A5:D14" headerRowCount="1" totalsRowCount="0" totalsRowShown="0">
  <x:tableColumns count="4">
    <x:tableColumn id="1" name="Source / concept"/>
    <x:tableColumn id="2" name="What to use it for"/>
    <x:tableColumn id="3" name="Reference URL"/>
    <x:tableColumn id="4" name="Implement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937cfa42c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8af9e863ec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4c8e6a88e64a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3f6600f38941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95c92d7de245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e3b281801747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f1afcc5b8a44f7" /></Relationships>
</file>

<file path=xl/worksheets/sheet1.xml><?xml version="1.0" encoding="utf-8"?>
<x:worksheet xmlns:x="http://schemas.openxmlformats.org/spreadsheetml/2006/main">
  <x:sheetPr>
    <x:tabColor rgb="FFB7791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42" hidden="0" customWidth="1"/>
    <x:col min="4" max="4" width="25" hidden="0" customWidth="1"/>
    <x:col min="5" max="5" width="64" hidden="0" customWidth="1"/>
    <x:col min="6" max="6" width="38" hidden="0" customWidth="1"/>
    <x:col min="7" max="7" width="38" hidden="0" customWidth="1"/>
    <x:col min="8" max="8" width="20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68" hidden="0" customWidth="1"/>
    <x:col min="14" max="14" width="17" hidden="0" customWidth="1"/>
    <x:col min="15" max="15" width="96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EPA WaterSense Check — Current App Catalog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Official EPA CSV export matched to the 50 model IDs in data/products.json. Wildcard/base-family candidates are flagged for exact SKU review.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5" ht="34" customHeight="1">
      <x:c r="A5" s="6" t="str">
        <x:v>App category</x:v>
      </x:c>
      <x:c r="B5" s="6" t="str">
        <x:v>App model ID</x:v>
      </x:c>
      <x:c r="C5" s="6" t="str">
        <x:v>Product name in app</x:v>
      </x:c>
      <x:c r="D5" s="6" t="str">
        <x:v>App rate / flush (unverified)</x:v>
      </x:c>
      <x:c r="E5" s="6" t="str">
        <x:v>EPA match assessment</x:v>
      </x:c>
      <x:c r="F5" s="6" t="str">
        <x:v>EPA listed model name(s)</x:v>
      </x:c>
      <x:c r="G5" s="6" t="str">
        <x:v>EPA listed model number(s)</x:v>
      </x:c>
      <x:c r="H5" s="6" t="str">
        <x:v>EPA max flow (GPM)</x:v>
      </x:c>
      <x:c r="I5" s="6" t="str">
        <x:v>EPA flush volume (GPF)</x:v>
      </x:c>
      <x:c r="J5" s="6" t="str">
        <x:v>EPA product type</x:v>
      </x:c>
      <x:c r="K5" s="6" t="str">
        <x:v>EPA flush type</x:v>
      </x:c>
      <x:c r="L5" s="6" t="str">
        <x:v>EPA flush mechanism</x:v>
      </x:c>
      <x:c r="M5" s="6" t="str">
        <x:v>EPA category source URL</x:v>
      </x:c>
      <x:c r="N5" s="6" t="str">
        <x:v>EPA export checked</x:v>
      </x:c>
      <x:c r="O5" s="6" t="str">
        <x:v>Review / claim limitation</x:v>
      </x:c>
    </x:row>
    <x:row r="6" ht="48" customHeight="1">
      <x:c r="A6" s="7" t="str">
        <x:v>faucets</x:v>
      </x:c>
      <x:c r="B6" s="7" t="str">
        <x:v>K-14402-4A-BL</x:v>
      </x:c>
      <x:c r="C6" s="7" t="str">
        <x:v>Kohler Purist Single-Handle Bathroom Faucet</x:v>
      </x:c>
      <x:c r="D6" s="7" t="str">
        <x:v>1.2 GPM</x:v>
      </x:c>
      <x:c r="E6" s="10" t="str">
        <x:v>EPA wildcard/family candidate; exact finish/model variant not established</x:v>
      </x:c>
      <x:c r="F6" s="7" t="str">
        <x:v>Purist</x:v>
      </x:c>
      <x:c r="G6" s="7" t="str">
        <x:v>K-14402-xyyz-**</x:v>
      </x:c>
      <x:c r="H6" s="7" t="str">
        <x:v>1.2</x:v>
      </x:c>
      <x:c r="I6" s="7" t="str"/>
      <x:c r="J6" s="7" t="str">
        <x:v>Faucet</x:v>
      </x:c>
      <x:c r="K6" s="7" t="str"/>
      <x:c r="L6" s="7" t="str"/>
      <x:c r="M6" s="7" t="str">
        <x:v>https://lookforwatersense.epa.gov/products/Product-Search-Results-BathroomSinkAccessories.html</x:v>
      </x:c>
      <x:c r="N6" s="9" t="str">
        <x:v>2026-10-05</x:v>
      </x:c>
      <x:c r="O6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7" ht="48" customHeight="1">
      <x:c r="A7" s="7" t="str">
        <x:v>faucets</x:v>
      </x:c>
      <x:c r="B7" s="7" t="str">
        <x:v>K-73159IN-7-CP</x:v>
      </x:c>
      <x:c r="C7" s="7" t="str">
        <x:v>Kohler Composed Tall Single-Handle Vessel Faucet</x:v>
      </x:c>
      <x:c r="D7" s="7" t="str">
        <x:v>1.2 GPM</x:v>
      </x:c>
      <x:c r="E7" s="10" t="str">
        <x:v>EPA wildcard/family candidate; exact finish/model variant not established</x:v>
      </x:c>
      <x:c r="F7" s="7" t="str">
        <x:v>Composed</x:v>
      </x:c>
      <x:c r="G7" s="7" t="str">
        <x:v>K-73159-xyyz-**</x:v>
      </x:c>
      <x:c r="H7" s="7" t="str">
        <x:v>1.2</x:v>
      </x:c>
      <x:c r="I7" s="7" t="str"/>
      <x:c r="J7" s="7" t="str">
        <x:v>Faucet</x:v>
      </x:c>
      <x:c r="K7" s="7" t="str"/>
      <x:c r="L7" s="7" t="str"/>
      <x:c r="M7" s="7" t="str">
        <x:v>https://lookforwatersense.epa.gov/products/Product-Search-Results-BathroomSinkAccessories.html</x:v>
      </x:c>
      <x:c r="N7" s="9" t="str">
        <x:v>2026-10-05</x:v>
      </x:c>
      <x:c r="O7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8" ht="48" customHeight="1">
      <x:c r="A8" s="7" t="str">
        <x:v>faucets</x:v>
      </x:c>
      <x:c r="B8" s="7" t="str">
        <x:v>K-72759-BN</x:v>
      </x:c>
      <x:c r="C8" s="7" t="str">
        <x:v>Kohler Artifacts Widespread Bathroom Faucet</x:v>
      </x:c>
      <x:c r="D8" s="7" t="str">
        <x:v>1.2 GPM</x:v>
      </x:c>
      <x:c r="E8" s="10" t="str">
        <x:v>EPA wildcard/family candidate; exact finish/model variant not established</x:v>
      </x:c>
      <x:c r="F8" s="7" t="str">
        <x:v>Artifacts</x:v>
      </x:c>
      <x:c r="G8" s="7" t="str">
        <x:v>K-72759-xyyz-**</x:v>
      </x:c>
      <x:c r="H8" s="7" t="str">
        <x:v>1.2</x:v>
      </x:c>
      <x:c r="I8" s="7" t="str"/>
      <x:c r="J8" s="7" t="str">
        <x:v>Faucet</x:v>
      </x:c>
      <x:c r="K8" s="7" t="str"/>
      <x:c r="L8" s="7" t="str"/>
      <x:c r="M8" s="7" t="str">
        <x:v>https://lookforwatersense.epa.gov/products/Product-Search-Results-BathroomSinkAccessories.html</x:v>
      </x:c>
      <x:c r="N8" s="9" t="str">
        <x:v>2026-10-05</x:v>
      </x:c>
      <x:c r="O8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9" ht="48" customHeight="1">
      <x:c r="A9" s="7" t="str">
        <x:v>faucets</x:v>
      </x:c>
      <x:c r="B9" s="7" t="str">
        <x:v>K-23472IN-4-CP</x:v>
      </x:c>
      <x:c r="C9" s="7" t="str">
        <x:v>Kohler Parallel Single-Handle Bathroom Faucet</x:v>
      </x:c>
      <x:c r="D9" s="7" t="str">
        <x:v>1.2 GPM</x:v>
      </x:c>
      <x:c r="E9" s="10" t="str">
        <x:v>EPA family candidate; multiple EPA entries/variants—confirm exact SKU</x:v>
      </x:c>
      <x:c r="F9" s="7" t="str">
        <x:v>Parallel</x:v>
      </x:c>
      <x:c r="G9" s="7" t="str">
        <x:v>K-23472-xyyz-**</x:v>
      </x:c>
      <x:c r="H9" s="7" t="str">
        <x:v>1.2 | 1.0</x:v>
      </x:c>
      <x:c r="I9" s="7" t="str"/>
      <x:c r="J9" s="7" t="str">
        <x:v>Faucet</x:v>
      </x:c>
      <x:c r="K9" s="7" t="str"/>
      <x:c r="L9" s="7" t="str"/>
      <x:c r="M9" s="7" t="str">
        <x:v>https://lookforwatersense.epa.gov/products/Product-Search-Results-BathroomSinkAccessories.html</x:v>
      </x:c>
      <x:c r="N9" s="9" t="str">
        <x:v>2026-10-05</x:v>
      </x:c>
      <x:c r="O9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10" ht="48" customHeight="1">
      <x:c r="A10" s="7" t="str">
        <x:v>faucets</x:v>
      </x:c>
      <x:c r="B10" s="7" t="str">
        <x:v>K-27485IN-4-CP</x:v>
      </x:c>
      <x:c r="C10" s="7" t="str">
        <x:v>Kohler Fore Line Single-Handle Bathroom Faucet</x:v>
      </x:c>
      <x:c r="D10" s="7" t="str">
        <x:v>1.5 GPM</x:v>
      </x:c>
      <x:c r="E10" s="10" t="str">
        <x:v>No Kohler model-base row found in the applicable EPA export</x:v>
      </x:c>
      <x:c r="F10" s="7" t="str"/>
      <x:c r="G10" s="7" t="str"/>
      <x:c r="H10" s="7" t="str"/>
      <x:c r="I10" s="7" t="str"/>
      <x:c r="J10" s="7" t="str"/>
      <x:c r="K10" s="7" t="str"/>
      <x:c r="L10" s="7" t="str"/>
      <x:c r="M10" s="7" t="str">
        <x:v>https://lookforwatersense.epa.gov/products/Product-Search-Results-BathroomSinkAccessories.html</x:v>
      </x:c>
      <x:c r="N10" s="9" t="str">
        <x:v>2026-10-05</x:v>
      </x:c>
      <x:c r="O10" s="11" t="str">
        <x:v>No same model-number base was found in the downloaded EPA category export. This does not provide an EPA sustainability rating for the product.</x:v>
      </x:c>
    </x:row>
    <x:row r="11" ht="48" customHeight="1">
      <x:c r="A11" s="7" t="str">
        <x:v>faucets</x:v>
      </x:c>
      <x:c r="B11" s="7" t="str">
        <x:v>K-23967IN-4ND-CP</x:v>
      </x:c>
      <x:c r="C11" s="7" t="str">
        <x:v>Kohler Vive Tall Single-Handle Bathroom Faucet</x:v>
      </x:c>
      <x:c r="D11" s="7" t="str">
        <x:v>1.2 GPM</x:v>
      </x:c>
      <x:c r="E11" s="10" t="str">
        <x:v>No Kohler model-base row found in the applicable EPA export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>
        <x:v>https://lookforwatersense.epa.gov/products/Product-Search-Results-BathroomSinkAccessories.html</x:v>
      </x:c>
      <x:c r="N11" s="9" t="str">
        <x:v>2026-10-05</x:v>
      </x:c>
      <x:c r="O11" s="11" t="str">
        <x:v>No same model-number base was found in the downloaded EPA category export. This does not provide an EPA sustainability rating for the product.</x:v>
      </x:c>
    </x:row>
    <x:row r="12" ht="48" customHeight="1">
      <x:c r="A12" s="7" t="str">
        <x:v>faucets</x:v>
      </x:c>
      <x:c r="B12" s="7" t="str">
        <x:v>K-14660-4-CP</x:v>
      </x:c>
      <x:c r="C12" s="7" t="str">
        <x:v>Kohler Loure Single-Handle Bathroom Faucet</x:v>
      </x:c>
      <x:c r="D12" s="7" t="str">
        <x:v>1.2 GPM</x:v>
      </x:c>
      <x:c r="E12" s="10" t="str">
        <x:v>No Kohler model-base row found in the applicable EPA export</x:v>
      </x:c>
      <x:c r="F12" s="7" t="str"/>
      <x:c r="G12" s="7" t="str"/>
      <x:c r="H12" s="7" t="str"/>
      <x:c r="I12" s="7" t="str"/>
      <x:c r="J12" s="7" t="str"/>
      <x:c r="K12" s="7" t="str"/>
      <x:c r="L12" s="7" t="str"/>
      <x:c r="M12" s="7" t="str">
        <x:v>https://lookforwatersense.epa.gov/products/Product-Search-Results-BathroomSinkAccessories.html</x:v>
      </x:c>
      <x:c r="N12" s="9" t="str">
        <x:v>2026-10-05</x:v>
      </x:c>
      <x:c r="O12" s="11" t="str">
        <x:v>No same model-number base was found in the downloaded EPA category export. This does not provide an EPA sustainability rating for the product.</x:v>
      </x:c>
    </x:row>
    <x:row r="13" ht="48" customHeight="1">
      <x:c r="A13" s="7" t="str">
        <x:v>faucets</x:v>
      </x:c>
      <x:c r="B13" s="7" t="str">
        <x:v>K-393-N4-CP</x:v>
      </x:c>
      <x:c r="C13" s="7" t="str">
        <x:v>Kohler Devonshire Centerset Bathroom Faucet</x:v>
      </x:c>
      <x:c r="D13" s="7" t="str">
        <x:v>1.2 GPM</x:v>
      </x:c>
      <x:c r="E13" s="10" t="str">
        <x:v>EPA wildcard/family candidate; exact finish/model variant not established</x:v>
      </x:c>
      <x:c r="F13" s="7" t="str">
        <x:v>Devonshire</x:v>
      </x:c>
      <x:c r="G13" s="7" t="str">
        <x:v>K-393-xyyz-**</x:v>
      </x:c>
      <x:c r="H13" s="7" t="str">
        <x:v>1.2</x:v>
      </x:c>
      <x:c r="I13" s="7" t="str"/>
      <x:c r="J13" s="7" t="str">
        <x:v>Faucet</x:v>
      </x:c>
      <x:c r="K13" s="7" t="str"/>
      <x:c r="L13" s="7" t="str"/>
      <x:c r="M13" s="7" t="str">
        <x:v>https://lookforwatersense.epa.gov/products/Product-Search-Results-BathroomSinkAccessories.html</x:v>
      </x:c>
      <x:c r="N13" s="9" t="str">
        <x:v>2026-10-05</x:v>
      </x:c>
      <x:c r="O13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14" ht="48" customHeight="1">
      <x:c r="A14" s="7" t="str">
        <x:v>faucets</x:v>
      </x:c>
      <x:c r="B14" s="7" t="str">
        <x:v>K-72288IN-4-CP</x:v>
      </x:c>
      <x:c r="C14" s="7" t="str">
        <x:v>Kohler Aleo Single-Control Pillar Faucet</x:v>
      </x:c>
      <x:c r="D14" s="7" t="str">
        <x:v>1.5 GPM</x:v>
      </x:c>
      <x:c r="E14" s="10" t="str">
        <x:v>No Kohler model-base row found in the applicable EPA export</x:v>
      </x:c>
      <x:c r="F14" s="7" t="str"/>
      <x:c r="G14" s="7" t="str"/>
      <x:c r="H14" s="7" t="str"/>
      <x:c r="I14" s="7" t="str"/>
      <x:c r="J14" s="7" t="str"/>
      <x:c r="K14" s="7" t="str"/>
      <x:c r="L14" s="7" t="str"/>
      <x:c r="M14" s="7" t="str">
        <x:v>https://lookforwatersense.epa.gov/products/Product-Search-Results-BathroomSinkAccessories.html</x:v>
      </x:c>
      <x:c r="N14" s="9" t="str">
        <x:v>2026-10-05</x:v>
      </x:c>
      <x:c r="O14" s="11" t="str">
        <x:v>No same model-number base was found in the downloaded EPA category export. This does not provide an EPA sustainability rating for the product.</x:v>
      </x:c>
    </x:row>
    <x:row r="15" ht="48" customHeight="1">
      <x:c r="A15" s="7" t="str">
        <x:v>faucets</x:v>
      </x:c>
      <x:c r="B15" s="7" t="str">
        <x:v>K-77958-4-BL</x:v>
      </x:c>
      <x:c r="C15" s="7" t="str">
        <x:v>Kohler Components Widespread Bathroom Faucet</x:v>
      </x:c>
      <x:c r="D15" s="7" t="str">
        <x:v>1.2 GPM</x:v>
      </x:c>
      <x:c r="E15" s="10" t="str">
        <x:v>EPA wildcard/family candidate; exact finish/model variant not established</x:v>
      </x:c>
      <x:c r="F15" s="7" t="str">
        <x:v>Components</x:v>
      </x:c>
      <x:c r="G15" s="7" t="str">
        <x:v>K-77958-xyyz-**</x:v>
      </x:c>
      <x:c r="H15" s="7" t="str">
        <x:v>1.2</x:v>
      </x:c>
      <x:c r="I15" s="7" t="str"/>
      <x:c r="J15" s="7" t="str">
        <x:v>Faucet</x:v>
      </x:c>
      <x:c r="K15" s="7" t="str"/>
      <x:c r="L15" s="7" t="str"/>
      <x:c r="M15" s="7" t="str">
        <x:v>https://lookforwatersense.epa.gov/products/Product-Search-Results-BathroomSinkAccessories.html</x:v>
      </x:c>
      <x:c r="N15" s="9" t="str">
        <x:v>2026-10-05</x:v>
      </x:c>
      <x:c r="O15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16" ht="48" customHeight="1">
      <x:c r="A16" s="7" t="str">
        <x:v>toilets</x:v>
      </x:c>
      <x:c r="B16" s="7" t="str">
        <x:v>K-3999-0</x:v>
      </x:c>
      <x:c r="C16" s="7" t="str">
        <x:v>Highline Comfort Height Two-Piece Toilet</x:v>
      </x:c>
      <x:c r="D16" s="7" t="str">
        <x:v>1.28 GPF</x:v>
      </x:c>
      <x:c r="E16" s="10" t="str">
        <x:v>EPA family candidate; multiple EPA entries/variants—confirm exact SKU</x:v>
      </x:c>
      <x:c r="F16" s="7" t="str">
        <x:v>Highline EB</x:v>
      </x:c>
      <x:c r="G16" s="7" t="str">
        <x:v>K-3999–xxyyy-** | K-3999-U–xxyyy-**</x:v>
      </x:c>
      <x:c r="H16" s="7" t="str"/>
      <x:c r="I16" s="7" t="str">
        <x:v>1.28</x:v>
      </x:c>
      <x:c r="J16" s="7" t="str"/>
      <x:c r="K16" s="7" t="str">
        <x:v>Single</x:v>
      </x:c>
      <x:c r="L16" s="7" t="str">
        <x:v>Gravity</x:v>
      </x:c>
      <x:c r="M16" s="7" t="str">
        <x:v>https://lookforwatersense.epa.gov/products/Product-Search-Results-Toilets.html</x:v>
      </x:c>
      <x:c r="N16" s="9" t="str">
        <x:v>2026-10-05</x:v>
      </x:c>
      <x:c r="O16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17" ht="48" customHeight="1">
      <x:c r="A17" s="7" t="str">
        <x:v>toilets</x:v>
      </x:c>
      <x:c r="B17" s="7" t="str">
        <x:v>K-3810-0</x:v>
      </x:c>
      <x:c r="C17" s="7" t="str">
        <x:v>Santa Rosa Compact Elongated One-Piece Toilet</x:v>
      </x:c>
      <x:c r="D17" s="7" t="str">
        <x:v>1.28 GPF</x:v>
      </x:c>
      <x:c r="E17" s="10" t="str">
        <x:v>No Kohler model-base row found in the applicable EPA export</x:v>
      </x:c>
      <x:c r="F17" s="7" t="str"/>
      <x:c r="G17" s="7" t="str"/>
      <x:c r="H17" s="7" t="str"/>
      <x:c r="I17" s="7" t="str"/>
      <x:c r="J17" s="7" t="str"/>
      <x:c r="K17" s="7" t="str"/>
      <x:c r="L17" s="7" t="str"/>
      <x:c r="M17" s="7" t="str">
        <x:v>https://lookforwatersense.epa.gov/products/Product-Search-Results-Toilets.html</x:v>
      </x:c>
      <x:c r="N17" s="9" t="str">
        <x:v>2026-10-05</x:v>
      </x:c>
      <x:c r="O17" s="11" t="str">
        <x:v>No same model-number base was found in the downloaded EPA category export. This does not provide an EPA sustainability rating for the product.</x:v>
      </x:c>
    </x:row>
    <x:row r="18" ht="48" customHeight="1">
      <x:c r="A18" s="7" t="str">
        <x:v>toilets</x:v>
      </x:c>
      <x:c r="B18" s="7" t="str">
        <x:v>K-6355-0</x:v>
      </x:c>
      <x:c r="C18" s="7" t="str">
        <x:v>Persuade Curated Dual-Flush Skirted Toilet</x:v>
      </x:c>
      <x:c r="D18" s="7" t="str">
        <x:v>0.8 / 1.6 GPF</x:v>
      </x:c>
      <x:c r="E18" s="10" t="str">
        <x:v>EPA wildcard/family candidate; exact finish/model variant not established</x:v>
      </x:c>
      <x:c r="F18" s="7" t="str">
        <x:v>Persuade Curv</x:v>
      </x:c>
      <x:c r="G18" s="7" t="str">
        <x:v>K-6355-xxyyy-**</x:v>
      </x:c>
      <x:c r="H18" s="7" t="str"/>
      <x:c r="I18" s="7" t="str">
        <x:v>1.60 Full/1.00 Reduced (Dual-Flush)</x:v>
      </x:c>
      <x:c r="J18" s="7" t="str"/>
      <x:c r="K18" s="7" t="str">
        <x:v>Dual</x:v>
      </x:c>
      <x:c r="L18" s="7" t="str">
        <x:v>Gravity</x:v>
      </x:c>
      <x:c r="M18" s="7" t="str">
        <x:v>https://lookforwatersense.epa.gov/products/Product-Search-Results-Toilets.html</x:v>
      </x:c>
      <x:c r="N18" s="9" t="str">
        <x:v>2026-10-05</x:v>
      </x:c>
      <x:c r="O18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19" ht="48" customHeight="1">
      <x:c r="A19" s="7" t="str">
        <x:v>toilets</x:v>
      </x:c>
      <x:c r="B19" s="7" t="str">
        <x:v>K-4007-0</x:v>
      </x:c>
      <x:c r="C19" s="7" t="str">
        <x:v>San Souci Low-Profile One-Piece Toilet</x:v>
      </x:c>
      <x:c r="D19" s="7" t="str">
        <x:v>1.28 GPF</x:v>
      </x:c>
      <x:c r="E19" s="10" t="str">
        <x:v>EPA wildcard/family candidate; exact finish/model variant not established</x:v>
      </x:c>
      <x:c r="F19" s="7" t="str">
        <x:v>San Souci PB</x:v>
      </x:c>
      <x:c r="G19" s="7" t="str">
        <x:v>K-4007-xxyyy-**</x:v>
      </x:c>
      <x:c r="H19" s="7" t="str"/>
      <x:c r="I19" s="7" t="str">
        <x:v>1.28</x:v>
      </x:c>
      <x:c r="J19" s="7" t="str"/>
      <x:c r="K19" s="7" t="str">
        <x:v>Single</x:v>
      </x:c>
      <x:c r="L19" s="7" t="str">
        <x:v>Gravity</x:v>
      </x:c>
      <x:c r="M19" s="7" t="str">
        <x:v>https://lookforwatersense.epa.gov/products/Product-Search-Results-Toilets.html</x:v>
      </x:c>
      <x:c r="N19" s="9" t="str">
        <x:v>2026-10-05</x:v>
      </x:c>
      <x:c r="O19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0" ht="48" customHeight="1">
      <x:c r="A20" s="7" t="str">
        <x:v>toilets</x:v>
      </x:c>
      <x:c r="B20" s="7" t="str">
        <x:v>K-18829-0</x:v>
      </x:c>
      <x:c r="C20" s="7" t="str">
        <x:v>Reach Wall-Hung Concealed Tank Toilet</x:v>
      </x:c>
      <x:c r="D20" s="7" t="str">
        <x:v>0.8 / 1.6 GPF</x:v>
      </x:c>
      <x:c r="E20" s="10" t="str">
        <x:v>No Kohler model-base row found in the applicable EPA export</x:v>
      </x:c>
      <x:c r="F20" s="7" t="str"/>
      <x:c r="G20" s="7" t="str"/>
      <x:c r="H20" s="7" t="str"/>
      <x:c r="I20" s="7" t="str"/>
      <x:c r="J20" s="7" t="str"/>
      <x:c r="K20" s="7" t="str"/>
      <x:c r="L20" s="7" t="str"/>
      <x:c r="M20" s="7" t="str">
        <x:v>https://lookforwatersense.epa.gov/products/Product-Search-Results-Toilets.html</x:v>
      </x:c>
      <x:c r="N20" s="9" t="str">
        <x:v>2026-10-05</x:v>
      </x:c>
      <x:c r="O20" s="11" t="str">
        <x:v>No same model-number base was found in the downloaded EPA category export. This does not provide an EPA sustainability rating for the product.</x:v>
      </x:c>
    </x:row>
    <x:row r="21" ht="48" customHeight="1">
      <x:c r="A21" s="7" t="str">
        <x:v>toilets</x:v>
      </x:c>
      <x:c r="B21" s="7" t="str">
        <x:v>K-3981-0</x:v>
      </x:c>
      <x:c r="C21" s="7" t="str">
        <x:v>Tresham Comfort Height Two-Piece Toilet</x:v>
      </x:c>
      <x:c r="D21" s="7" t="str">
        <x:v>1.28 GPF</x:v>
      </x:c>
      <x:c r="E21" s="10" t="str">
        <x:v>EPA wildcard/family candidate; exact finish/model variant not established</x:v>
      </x:c>
      <x:c r="F21" s="7" t="str">
        <x:v>Tresham</x:v>
      </x:c>
      <x:c r="G21" s="7" t="str">
        <x:v>K-3981-xxyyy-**</x:v>
      </x:c>
      <x:c r="H21" s="7" t="str"/>
      <x:c r="I21" s="7" t="str">
        <x:v>1.28</x:v>
      </x:c>
      <x:c r="J21" s="7" t="str"/>
      <x:c r="K21" s="7" t="str">
        <x:v>Single</x:v>
      </x:c>
      <x:c r="L21" s="7" t="str">
        <x:v>Gravity</x:v>
      </x:c>
      <x:c r="M21" s="7" t="str">
        <x:v>https://lookforwatersense.epa.gov/products/Product-Search-Results-Toilets.html</x:v>
      </x:c>
      <x:c r="N21" s="9" t="str">
        <x:v>2026-10-05</x:v>
      </x:c>
      <x:c r="O21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2" ht="48" customHeight="1">
      <x:c r="A22" s="7" t="str">
        <x:v>toilets</x:v>
      </x:c>
      <x:c r="B22" s="7" t="str">
        <x:v>K-76301-0</x:v>
      </x:c>
      <x:c r="C22" s="7" t="str">
        <x:v>Betello ContinuousClean Skirted Toilet</x:v>
      </x:c>
      <x:c r="D22" s="7" t="str">
        <x:v>1.28 GPF</x:v>
      </x:c>
      <x:c r="E22" s="10" t="str">
        <x:v>No Kohler model-base row found in the applicable EPA export</x:v>
      </x:c>
      <x:c r="F22" s="7" t="str"/>
      <x:c r="G22" s="7" t="str"/>
      <x:c r="H22" s="7" t="str"/>
      <x:c r="I22" s="7" t="str"/>
      <x:c r="J22" s="7" t="str"/>
      <x:c r="K22" s="7" t="str"/>
      <x:c r="L22" s="7" t="str"/>
      <x:c r="M22" s="7" t="str">
        <x:v>https://lookforwatersense.epa.gov/products/Product-Search-Results-Toilets.html</x:v>
      </x:c>
      <x:c r="N22" s="9" t="str">
        <x:v>2026-10-05</x:v>
      </x:c>
      <x:c r="O22" s="11" t="str">
        <x:v>No same model-number base was found in the downloaded EPA category export. This does not provide an EPA sustainability rating for the product.</x:v>
      </x:c>
    </x:row>
    <x:row r="23" ht="48" customHeight="1">
      <x:c r="A23" s="7" t="str">
        <x:v>toilets</x:v>
      </x:c>
      <x:c r="B23" s="7" t="str">
        <x:v>K-5401-0</x:v>
      </x:c>
      <x:c r="C23" s="7" t="str">
        <x:v>Veil Intelligent Smart Bidet Toilet</x:v>
      </x:c>
      <x:c r="D23" s="7" t="str">
        <x:v>0.8 / 1.28 GPF</x:v>
      </x:c>
      <x:c r="E23" s="10" t="str">
        <x:v>EPA family candidate; multiple EPA entries/variants—confirm exact SKU</x:v>
      </x:c>
      <x:c r="F23" s="7" t="str">
        <x:v>Veil</x:v>
      </x:c>
      <x:c r="G23" s="7" t="str">
        <x:v>K-5401-PA-xxyyy-** | K-5401-xxyyy-**</x:v>
      </x:c>
      <x:c r="H23" s="7" t="str"/>
      <x:c r="I23" s="7" t="str">
        <x:v>1.19 Full/0.80 Reduced (Dual-Flush) | 1.28 Full/0.80 Reduced (Dual-Flush)</x:v>
      </x:c>
      <x:c r="J23" s="7" t="str"/>
      <x:c r="K23" s="7" t="str">
        <x:v>Dual</x:v>
      </x:c>
      <x:c r="L23" s="7" t="str">
        <x:v>Other</x:v>
      </x:c>
      <x:c r="M23" s="7" t="str">
        <x:v>https://lookforwatersense.epa.gov/products/Product-Search-Results-Toilets.html</x:v>
      </x:c>
      <x:c r="N23" s="9" t="str">
        <x:v>2026-10-05</x:v>
      </x:c>
      <x:c r="O23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4" ht="48" customHeight="1">
      <x:c r="A24" s="7" t="str">
        <x:v>toilets</x:v>
      </x:c>
      <x:c r="B24" s="7" t="str">
        <x:v>K-77795-0</x:v>
      </x:c>
      <x:c r="C24" s="7" t="str">
        <x:v>Eir Intelligent Luxury Smart Toilet</x:v>
      </x:c>
      <x:c r="D24" s="7" t="str">
        <x:v>0.8 / 1.0 GPF</x:v>
      </x:c>
      <x:c r="E24" s="10" t="str">
        <x:v>EPA wildcard/family candidate; exact finish/model variant not established</x:v>
      </x:c>
      <x:c r="F24" s="7" t="str">
        <x:v>Eir Intelligent</x:v>
      </x:c>
      <x:c r="G24" s="7" t="str">
        <x:v>K-77795-xxyyy-**</x:v>
      </x:c>
      <x:c r="H24" s="7" t="str"/>
      <x:c r="I24" s="7" t="str">
        <x:v>1.00 Full/0.80 Reduced (Dual-Flush)</x:v>
      </x:c>
      <x:c r="J24" s="7" t="str"/>
      <x:c r="K24" s="7" t="str">
        <x:v>Dual</x:v>
      </x:c>
      <x:c r="L24" s="7" t="str">
        <x:v>Other</x:v>
      </x:c>
      <x:c r="M24" s="7" t="str">
        <x:v>https://lookforwatersense.epa.gov/products/Product-Search-Results-Toilets.html</x:v>
      </x:c>
      <x:c r="N24" s="9" t="str">
        <x:v>2026-10-05</x:v>
      </x:c>
      <x:c r="O24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5" ht="48" customHeight="1">
      <x:c r="A25" s="7" t="str">
        <x:v>toilets</x:v>
      </x:c>
      <x:c r="B25" s="7" t="str">
        <x:v>K-30754-0</x:v>
      </x:c>
      <x:c r="C25" s="7" t="str">
        <x:v>Numi 2.0 Flagship Intelligent Smart Toilet</x:v>
      </x:c>
      <x:c r="D25" s="7" t="str">
        <x:v>0.6 / 1.0 GPF</x:v>
      </x:c>
      <x:c r="E25" s="10" t="str">
        <x:v>EPA wildcard/family candidate; exact finish/model variant not established</x:v>
      </x:c>
      <x:c r="F25" s="7" t="str">
        <x:v>Numi 2.0</x:v>
      </x:c>
      <x:c r="G25" s="7" t="str">
        <x:v>K-30754-PA-xxyyy-**</x:v>
      </x:c>
      <x:c r="H25" s="7" t="str"/>
      <x:c r="I25" s="7" t="str">
        <x:v>1.00 Full/0.80 Reduced (Dual-Flush)</x:v>
      </x:c>
      <x:c r="J25" s="7" t="str"/>
      <x:c r="K25" s="7" t="str">
        <x:v>Dual</x:v>
      </x:c>
      <x:c r="L25" s="7" t="str">
        <x:v>Other</x:v>
      </x:c>
      <x:c r="M25" s="7" t="str">
        <x:v>https://lookforwatersense.epa.gov/products/Product-Search-Results-Toilets.html</x:v>
      </x:c>
      <x:c r="N25" s="9" t="str">
        <x:v>2026-10-05</x:v>
      </x:c>
      <x:c r="O25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6" ht="48" customHeight="1">
      <x:c r="A26" s="7" t="str">
        <x:v>showers</x:v>
      </x:c>
      <x:c r="B26" s="7" t="str">
        <x:v>K-28238-CP</x:v>
      </x:c>
      <x:c r="C26" s="7" t="str">
        <x:v>Moxie Bluetooth Speaker Showerhead</x:v>
      </x:c>
      <x:c r="D26" s="7" t="str">
        <x:v>1.75 GPM</x:v>
      </x:c>
      <x:c r="E26" s="10" t="str">
        <x:v>EPA family candidate; multiple EPA entries/variants—confirm exact SKU</x:v>
      </x:c>
      <x:c r="F26" s="7" t="str">
        <x:v>Moxie</x:v>
      </x:c>
      <x:c r="G26" s="7" t="str">
        <x:v>K-28238-GKE-** | K-28238-GKA-**</x:v>
      </x:c>
      <x:c r="H26" s="7" t="str">
        <x:v>1.75</x:v>
      </x:c>
      <x:c r="I26" s="7" t="str"/>
      <x:c r="J26" s="7" t="str"/>
      <x:c r="K26" s="7" t="str"/>
      <x:c r="L26" s="7" t="str"/>
      <x:c r="M26" s="7" t="str">
        <x:v>https://lookforwatersense.epa.gov/products/Product-Search-Results-Showerhead.html</x:v>
      </x:c>
      <x:c r="N26" s="9" t="str">
        <x:v>2026-10-05</x:v>
      </x:c>
      <x:c r="O26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7" ht="48" customHeight="1">
      <x:c r="A27" s="7" t="str">
        <x:v>showers</x:v>
      </x:c>
      <x:c r="B27" s="7" t="str">
        <x:v>K-26290-CP</x:v>
      </x:c>
      <x:c r="C27" s="7" t="str">
        <x:v>Statement Oval Three-Function Showerhead</x:v>
      </x:c>
      <x:c r="D27" s="7" t="str">
        <x:v>2.5 GPM</x:v>
      </x:c>
      <x:c r="E27" s="10" t="str">
        <x:v>Candidate family found, but app rate/flush conflicts with EPA data</x:v>
      </x:c>
      <x:c r="F27" s="7" t="str">
        <x:v>Statement</x:v>
      </x:c>
      <x:c r="G27" s="7" t="str">
        <x:v>K-26290-G-**</x:v>
      </x:c>
      <x:c r="H27" s="7" t="str">
        <x:v>1.75</x:v>
      </x:c>
      <x:c r="I27" s="7" t="str"/>
      <x:c r="J27" s="7" t="str"/>
      <x:c r="K27" s="7" t="str"/>
      <x:c r="L27" s="7" t="str"/>
      <x:c r="M27" s="7" t="str">
        <x:v>https://lookforwatersense.epa.gov/products/Product-Search-Results-Showerhead.html</x:v>
      </x:c>
      <x:c r="N27" s="9" t="str">
        <x:v>2026-10-05</x:v>
      </x:c>
      <x:c r="O27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28" ht="48" customHeight="1">
      <x:c r="A28" s="7" t="str">
        <x:v>showers</x:v>
      </x:c>
      <x:c r="B28" s="7" t="str">
        <x:v>K-965-AK-CP</x:v>
      </x:c>
      <x:c r="C28" s="7" t="str">
        <x:v>Purist Single-Function Katalyst Showerhead</x:v>
      </x:c>
      <x:c r="D28" s="7" t="str">
        <x:v>2.5 GPM</x:v>
      </x:c>
      <x:c r="E28" s="10" t="str">
        <x:v>No Kohler model-base row found in the applicable EPA export</x:v>
      </x:c>
      <x:c r="F28" s="7" t="str"/>
      <x:c r="G28" s="7" t="str"/>
      <x:c r="H28" s="7" t="str"/>
      <x:c r="I28" s="7" t="str"/>
      <x:c r="J28" s="7" t="str"/>
      <x:c r="K28" s="7" t="str"/>
      <x:c r="L28" s="7" t="str"/>
      <x:c r="M28" s="7" t="str">
        <x:v>https://lookforwatersense.epa.gov/products/Product-Search-Results-Showerhead.html</x:v>
      </x:c>
      <x:c r="N28" s="9" t="str">
        <x:v>2026-10-05</x:v>
      </x:c>
      <x:c r="O28" s="11" t="str">
        <x:v>No same model-number base was found in the downloaded EPA category export. This does not provide an EPA sustainability rating for the product.</x:v>
      </x:c>
    </x:row>
    <x:row r="29" ht="48" customHeight="1">
      <x:c r="A29" s="7" t="str">
        <x:v>showers</x:v>
      </x:c>
      <x:c r="B29" s="7" t="str">
        <x:v>K-72773-2MB</x:v>
      </x:c>
      <x:c r="C29" s="7" t="str">
        <x:v>Artifacts Single-Function Heritage Showerhead</x:v>
      </x:c>
      <x:c r="D29" s="7" t="str">
        <x:v>2.5 GPM</x:v>
      </x:c>
      <x:c r="E29" s="10" t="str">
        <x:v>No Kohler model-base row found in the applicable EPA export</x:v>
      </x:c>
      <x:c r="F29" s="7" t="str"/>
      <x:c r="G29" s="7" t="str"/>
      <x:c r="H29" s="7" t="str"/>
      <x:c r="I29" s="7" t="str"/>
      <x:c r="J29" s="7" t="str"/>
      <x:c r="K29" s="7" t="str"/>
      <x:c r="L29" s="7" t="str"/>
      <x:c r="M29" s="7" t="str">
        <x:v>https://lookforwatersense.epa.gov/products/Product-Search-Results-Showerhead.html</x:v>
      </x:c>
      <x:c r="N29" s="9" t="str">
        <x:v>2026-10-05</x:v>
      </x:c>
      <x:c r="O29" s="11" t="str">
        <x:v>No same model-number base was found in the downloaded EPA category export. This does not provide an EPA sustainability rating for the product.</x:v>
      </x:c>
    </x:row>
    <x:row r="30" ht="48" customHeight="1">
      <x:c r="A30" s="7" t="str">
        <x:v>showers</x:v>
      </x:c>
      <x:c r="B30" s="7" t="str">
        <x:v>K-13688-CP</x:v>
      </x:c>
      <x:c r="C30" s="7" t="str">
        <x:v>Contemporary 8-Inch Round Rainhead</x:v>
      </x:c>
      <x:c r="D30" s="7" t="str">
        <x:v>2.5 GPM</x:v>
      </x:c>
      <x:c r="E30" s="10" t="str">
        <x:v>Ambiguous model-number candidate; EPA product name conflicts with app catalog</x:v>
      </x:c>
      <x:c r="F30" s="7" t="str">
        <x:v>Katalyst</x:v>
      </x:c>
      <x:c r="G30" s="7" t="str">
        <x:v>K-13688-G-**</x:v>
      </x:c>
      <x:c r="H30" s="7" t="str">
        <x:v>1.75</x:v>
      </x:c>
      <x:c r="I30" s="7" t="str"/>
      <x:c r="J30" s="7" t="str"/>
      <x:c r="K30" s="7" t="str"/>
      <x:c r="L30" s="7" t="str"/>
      <x:c r="M30" s="7" t="str">
        <x:v>https://lookforwatersense.epa.gov/products/Product-Search-Results-Showerhead.html</x:v>
      </x:c>
      <x:c r="N30" s="9" t="str">
        <x:v>2026-10-05</x:v>
      </x:c>
      <x:c r="O30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31" ht="48" customHeight="1">
      <x:c r="A31" s="7" t="str">
        <x:v>showers</x:v>
      </x:c>
      <x:c r="B31" s="7" t="str">
        <x:v>K-76465-CP</x:v>
      </x:c>
      <x:c r="C31" s="7" t="str">
        <x:v>Awaken Multi-Function Spray Showerhead</x:v>
      </x:c>
      <x:c r="D31" s="7" t="str">
        <x:v>2.0 GPM</x:v>
      </x:c>
      <x:c r="E31" s="10" t="str">
        <x:v>EPA family candidate; multiple EPA entries/variants—confirm exact SKU</x:v>
      </x:c>
      <x:c r="F31" s="7" t="str">
        <x:v>Awaken Rainhead</x:v>
      </x:c>
      <x:c r="G31" s="7" t="str">
        <x:v>K-76465-** | K-76465-G-**</x:v>
      </x:c>
      <x:c r="H31" s="7" t="str">
        <x:v>2.0 | 1.75</x:v>
      </x:c>
      <x:c r="I31" s="7" t="str"/>
      <x:c r="J31" s="7" t="str"/>
      <x:c r="K31" s="7" t="str"/>
      <x:c r="L31" s="7" t="str"/>
      <x:c r="M31" s="7" t="str">
        <x:v>https://lookforwatersense.epa.gov/products/Product-Search-Results-Showerhead.html</x:v>
      </x:c>
      <x:c r="N31" s="9" t="str">
        <x:v>2026-10-05</x:v>
      </x:c>
      <x:c r="O31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32" ht="48" customHeight="1">
      <x:c r="A32" s="7" t="str">
        <x:v>showers</x:v>
      </x:c>
      <x:c r="B32" s="7" t="str">
        <x:v>K-22169-BN</x:v>
      </x:c>
      <x:c r="C32" s="7" t="str">
        <x:v>Statement 12-Inch Barrel Rain Canopy</x:v>
      </x:c>
      <x:c r="D32" s="7" t="str">
        <x:v>2.5 GPM</x:v>
      </x:c>
      <x:c r="E32" s="10" t="str">
        <x:v>Ambiguous model-number candidate; EPA product name conflicts with app catalog</x:v>
      </x:c>
      <x:c r="F32" s="7" t="str">
        <x:v>Forte</x:v>
      </x:c>
      <x:c r="G32" s="7" t="str">
        <x:v>K-22169-G-**</x:v>
      </x:c>
      <x:c r="H32" s="7" t="str">
        <x:v>1.75</x:v>
      </x:c>
      <x:c r="I32" s="7" t="str"/>
      <x:c r="J32" s="7" t="str"/>
      <x:c r="K32" s="7" t="str"/>
      <x:c r="L32" s="7" t="str"/>
      <x:c r="M32" s="7" t="str">
        <x:v>https://lookforwatersense.epa.gov/products/Product-Search-Results-Showerhead.html</x:v>
      </x:c>
      <x:c r="N32" s="9" t="str">
        <x:v>2026-10-05</x:v>
      </x:c>
      <x:c r="O32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33" ht="48" customHeight="1">
      <x:c r="A33" s="7" t="str">
        <x:v>showers</x:v>
      </x:c>
      <x:c r="B33" s="7" t="str">
        <x:v>K-15996-BL</x:v>
      </x:c>
      <x:c r="C33" s="7" t="str">
        <x:v>Shift Ellipse Multi-Function Handshower</x:v>
      </x:c>
      <x:c r="D33" s="7" t="str">
        <x:v>2.5 GPM</x:v>
      </x:c>
      <x:c r="E33" s="10" t="str">
        <x:v>No Kohler model-base row found in the applicable EPA export</x:v>
      </x:c>
      <x:c r="F33" s="7" t="str"/>
      <x:c r="G33" s="7" t="str"/>
      <x:c r="H33" s="7" t="str"/>
      <x:c r="I33" s="7" t="str"/>
      <x:c r="J33" s="7" t="str"/>
      <x:c r="K33" s="7" t="str"/>
      <x:c r="L33" s="7" t="str"/>
      <x:c r="M33" s="7" t="str">
        <x:v>https://lookforwatersense.epa.gov/products/Product-Search-Results-Showerhead.html</x:v>
      </x:c>
      <x:c r="N33" s="9" t="str">
        <x:v>2026-10-05</x:v>
      </x:c>
      <x:c r="O33" s="11" t="str">
        <x:v>No same model-number base was found in the downloaded EPA category export. This does not provide an EPA sustainability rating for the product.</x:v>
      </x:c>
    </x:row>
    <x:row r="34" ht="48" customHeight="1">
      <x:c r="A34" s="7" t="str">
        <x:v>showers</x:v>
      </x:c>
      <x:c r="B34" s="7" t="str">
        <x:v>K-22170-CP</x:v>
      </x:c>
      <x:c r="C34" s="7" t="str">
        <x:v>Purist Three-Function Multi-Flow Showerhead</x:v>
      </x:c>
      <x:c r="D34" s="7" t="str">
        <x:v>2.5 GPM</x:v>
      </x:c>
      <x:c r="E34" s="10" t="str">
        <x:v>Candidate family found, but app rate/flush conflicts with EPA data</x:v>
      </x:c>
      <x:c r="F34" s="7" t="str">
        <x:v>Purist</x:v>
      </x:c>
      <x:c r="G34" s="7" t="str">
        <x:v>K-22170-G-** | K-22170-ZY-**</x:v>
      </x:c>
      <x:c r="H34" s="7" t="str">
        <x:v>1.75 | 1.5</x:v>
      </x:c>
      <x:c r="I34" s="7" t="str"/>
      <x:c r="J34" s="7" t="str"/>
      <x:c r="K34" s="7" t="str"/>
      <x:c r="L34" s="7" t="str"/>
      <x:c r="M34" s="7" t="str">
        <x:v>https://lookforwatersense.epa.gov/products/Product-Search-Results-Showerhead.html</x:v>
      </x:c>
      <x:c r="N34" s="9" t="str">
        <x:v>2026-10-05</x:v>
      </x:c>
      <x:c r="O34" s="11" t="str">
        <x:v>EPA model numbers use wildcard patterns for variants. A same-base candidate is not proof that this exact catalog SKU/finish is labeled. Verify the full model variant before making a certification claim.</x:v>
      </x:c>
    </x:row>
    <x:row r="35" ht="48" customHeight="1">
      <x:c r="A35" s="7" t="str">
        <x:v>showers</x:v>
      </x:c>
      <x:c r="B35" s="7" t="str">
        <x:v>34050IN-CP</x:v>
      </x:c>
      <x:c r="C35" s="7" t="str">
        <x:v>APT Square Single-Function Rain Showerhead</x:v>
      </x:c>
      <x:c r="D35" s="7" t="str">
        <x:v>2.5 GPM</x:v>
      </x:c>
      <x:c r="E35" s="10" t="str">
        <x:v>No Kohler model-base row found in the applicable EPA export</x:v>
      </x:c>
      <x:c r="F35" s="7" t="str"/>
      <x:c r="G35" s="7" t="str"/>
      <x:c r="H35" s="7" t="str"/>
      <x:c r="I35" s="7" t="str"/>
      <x:c r="J35" s="7" t="str"/>
      <x:c r="K35" s="7" t="str"/>
      <x:c r="L35" s="7" t="str"/>
      <x:c r="M35" s="7" t="str">
        <x:v>https://lookforwatersense.epa.gov/products/Product-Search-Results-Showerhead.html</x:v>
      </x:c>
      <x:c r="N35" s="9" t="str">
        <x:v>2026-10-05</x:v>
      </x:c>
      <x:c r="O35" s="11" t="str">
        <x:v>No same model-number base was found in the downloaded EPA category export. This does not provide an EPA sustainability rating for the product.</x:v>
      </x:c>
    </x:row>
    <x:row r="36" ht="48" customHeight="1">
      <x:c r="A36" s="7" t="str">
        <x:v>vanities</x:v>
      </x:c>
      <x:c r="B36" s="7" t="str">
        <x:v>K-99522-1WA</x:v>
      </x:c>
      <x:c r="C36" s="7" t="str">
        <x:v>Damask 30-Inch Single Bathroom Vanity</x:v>
      </x:c>
      <x:c r="D36" s="7" t="str"/>
      <x:c r="E36" s="10" t="str">
        <x:v>Outside EPA WaterSense faucet/toilet/showerhead categories</x:v>
      </x:c>
      <x:c r="F36" s="7" t="str"/>
      <x:c r="G36" s="7" t="str"/>
      <x:c r="H36" s="7" t="str"/>
      <x:c r="I36" s="7" t="str"/>
      <x:c r="J36" s="7" t="str"/>
      <x:c r="K36" s="7" t="str"/>
      <x:c r="L36" s="7" t="str"/>
      <x:c r="M36" s="7" t="str">
        <x:v>https://lookforwatersense.epa.gov/products/</x:v>
      </x:c>
      <x:c r="N36" s="9" t="str">
        <x:v>2026-10-05</x:v>
      </x:c>
      <x:c r="O36" s="11" t="str">
        <x:v>EPA’s WaterSense export has no vanity or bathtub product category. These products may need manufacturer EPD/material data from non-EPA sources.</x:v>
      </x:c>
    </x:row>
    <x:row r="37" ht="48" customHeight="1">
      <x:c r="A37" s="7" t="str">
        <x:v>vanities</x:v>
      </x:c>
      <x:c r="B37" s="7" t="str">
        <x:v>K-99505-1WA</x:v>
      </x:c>
      <x:c r="C37" s="7" t="str">
        <x:v>Jacquard 36-Inch Single Bathroom Vanity</x:v>
      </x:c>
      <x:c r="D37" s="7" t="str"/>
      <x:c r="E37" s="10" t="str">
        <x:v>Outside EPA WaterSense faucet/toilet/showerhead categories</x:v>
      </x:c>
      <x:c r="F37" s="7" t="str"/>
      <x:c r="G37" s="7" t="str"/>
      <x:c r="H37" s="7" t="str"/>
      <x:c r="I37" s="7" t="str"/>
      <x:c r="J37" s="7" t="str"/>
      <x:c r="K37" s="7" t="str"/>
      <x:c r="L37" s="7" t="str"/>
      <x:c r="M37" s="7" t="str">
        <x:v>https://lookforwatersense.epa.gov/products/</x:v>
      </x:c>
      <x:c r="N37" s="9" t="str">
        <x:v>2026-10-05</x:v>
      </x:c>
      <x:c r="O37" s="11" t="str">
        <x:v>EPA’s WaterSense export has no vanity or bathtub product category. These products may need manufacturer EPD/material data from non-EPA sources.</x:v>
      </x:c>
    </x:row>
    <x:row r="38" ht="48" customHeight="1">
      <x:c r="A38" s="7" t="str">
        <x:v>vanities</x:v>
      </x:c>
      <x:c r="B38" s="7" t="str">
        <x:v>K-99513-1WA</x:v>
      </x:c>
      <x:c r="C38" s="7" t="str">
        <x:v>Poplin 24-Inch Compact Bathroom Vanity</x:v>
      </x:c>
      <x:c r="D38" s="7" t="str"/>
      <x:c r="E38" s="10" t="str">
        <x:v>Outside EPA WaterSense faucet/toilet/showerhead categories</x:v>
      </x:c>
      <x:c r="F38" s="7" t="str"/>
      <x:c r="G38" s="7" t="str"/>
      <x:c r="H38" s="7" t="str"/>
      <x:c r="I38" s="7" t="str"/>
      <x:c r="J38" s="7" t="str"/>
      <x:c r="K38" s="7" t="str"/>
      <x:c r="L38" s="7" t="str"/>
      <x:c r="M38" s="7" t="str">
        <x:v>https://lookforwatersense.epa.gov/products/</x:v>
      </x:c>
      <x:c r="N38" s="9" t="str">
        <x:v>2026-10-05</x:v>
      </x:c>
      <x:c r="O38" s="11" t="str">
        <x:v>EPA’s WaterSense export has no vanity or bathtub product category. These products may need manufacturer EPD/material data from non-EPA sources.</x:v>
      </x:c>
    </x:row>
    <x:row r="39" ht="48" customHeight="1">
      <x:c r="A39" s="7" t="str">
        <x:v>vanities</x:v>
      </x:c>
      <x:c r="B39" s="7" t="str">
        <x:v>K-99557-SD</x:v>
      </x:c>
      <x:c r="C39" s="7" t="str">
        <x:v>Marabou 48-Inch Single Bathroom Vanity</x:v>
      </x:c>
      <x:c r="D39" s="7" t="str"/>
      <x:c r="E39" s="10" t="str">
        <x:v>Outside EPA WaterSense faucet/toilet/showerhead categories</x:v>
      </x:c>
      <x:c r="F39" s="7" t="str"/>
      <x:c r="G39" s="7" t="str"/>
      <x:c r="H39" s="7" t="str"/>
      <x:c r="I39" s="7" t="str"/>
      <x:c r="J39" s="7" t="str"/>
      <x:c r="K39" s="7" t="str"/>
      <x:c r="L39" s="7" t="str"/>
      <x:c r="M39" s="7" t="str">
        <x:v>https://lookforwatersense.epa.gov/products/</x:v>
      </x:c>
      <x:c r="N39" s="9" t="str">
        <x:v>2026-10-05</x:v>
      </x:c>
      <x:c r="O39" s="11" t="str">
        <x:v>EPA’s WaterSense export has no vanity or bathtub product category. These products may need manufacturer EPD/material data from non-EPA sources.</x:v>
      </x:c>
    </x:row>
    <x:row r="40" ht="48" customHeight="1">
      <x:c r="A40" s="7" t="str">
        <x:v>vanities</x:v>
      </x:c>
      <x:c r="B40" s="7" t="str">
        <x:v>K-99541-R</x:v>
      </x:c>
      <x:c r="C40" s="7" t="str">
        <x:v>Jute 30-Inch Wall-Mount Floating Vanity</x:v>
      </x:c>
      <x:c r="D40" s="7" t="str"/>
      <x:c r="E40" s="10" t="str">
        <x:v>Outside EPA WaterSense faucet/toilet/showerhead categories</x:v>
      </x:c>
      <x:c r="F40" s="7" t="str"/>
      <x:c r="G40" s="7" t="str"/>
      <x:c r="H40" s="7" t="str"/>
      <x:c r="I40" s="7" t="str"/>
      <x:c r="J40" s="7" t="str"/>
      <x:c r="K40" s="7" t="str"/>
      <x:c r="L40" s="7" t="str"/>
      <x:c r="M40" s="7" t="str">
        <x:v>https://lookforwatersense.epa.gov/products/</x:v>
      </x:c>
      <x:c r="N40" s="9" t="str">
        <x:v>2026-10-05</x:v>
      </x:c>
      <x:c r="O40" s="11" t="str">
        <x:v>EPA’s WaterSense export has no vanity or bathtub product category. These products may need manufacturer EPD/material data from non-EPA sources.</x:v>
      </x:c>
    </x:row>
    <x:row r="41" ht="48" customHeight="1">
      <x:c r="A41" s="7" t="str">
        <x:v>vanities</x:v>
      </x:c>
      <x:c r="B41" s="7" t="str">
        <x:v>K-29263-BD1-DWG</x:v>
      </x:c>
      <x:c r="C41" s="7" t="str">
        <x:v>Charlemont 60 Bathroom Vanity Cabinet</x:v>
      </x:c>
      <x:c r="D41" s="7" t="str"/>
      <x:c r="E41" s="10" t="str">
        <x:v>Outside EPA WaterSense faucet/toilet/showerhead categories</x:v>
      </x:c>
      <x:c r="F41" s="7" t="str"/>
      <x:c r="G41" s="7" t="str"/>
      <x:c r="H41" s="7" t="str"/>
      <x:c r="I41" s="7" t="str"/>
      <x:c r="J41" s="7" t="str"/>
      <x:c r="K41" s="7" t="str"/>
      <x:c r="L41" s="7" t="str"/>
      <x:c r="M41" s="7" t="str">
        <x:v>https://lookforwatersense.epa.gov/products/</x:v>
      </x:c>
      <x:c r="N41" s="9" t="str">
        <x:v>2026-10-05</x:v>
      </x:c>
      <x:c r="O41" s="11" t="str">
        <x:v>EPA’s WaterSense export has no vanity or bathtub product category. These products may need manufacturer EPD/material data from non-EPA sources.</x:v>
      </x:c>
    </x:row>
    <x:row r="42" ht="48" customHeight="1">
      <x:c r="A42" s="7" t="str">
        <x:v>vanities</x:v>
      </x:c>
      <x:c r="B42" s="7" t="str">
        <x:v>K-33545-ASB</x:v>
      </x:c>
      <x:c r="C42" s="7" t="str">
        <x:v>Southerk 36-Inch Vanity with Quartz Top</x:v>
      </x:c>
      <x:c r="D42" s="7" t="str"/>
      <x:c r="E42" s="10" t="str">
        <x:v>Outside EPA WaterSense faucet/toilet/showerhead categories</x:v>
      </x:c>
      <x:c r="F42" s="7" t="str"/>
      <x:c r="G42" s="7" t="str"/>
      <x:c r="H42" s="7" t="str"/>
      <x:c r="I42" s="7" t="str"/>
      <x:c r="J42" s="7" t="str"/>
      <x:c r="K42" s="7" t="str"/>
      <x:c r="L42" s="7" t="str"/>
      <x:c r="M42" s="7" t="str">
        <x:v>https://lookforwatersense.epa.gov/products/</x:v>
      </x:c>
      <x:c r="N42" s="9" t="str">
        <x:v>2026-10-05</x:v>
      </x:c>
      <x:c r="O42" s="11" t="str">
        <x:v>EPA’s WaterSense export has no vanity or bathtub product category. These products may need manufacturer EPD/material data from non-EPA sources.</x:v>
      </x:c>
    </x:row>
    <x:row r="43" ht="48" customHeight="1">
      <x:c r="A43" s="7" t="str">
        <x:v>vanities</x:v>
      </x:c>
      <x:c r="B43" s="7" t="str">
        <x:v>K-40640-BD1-WEK</x:v>
      </x:c>
      <x:c r="C43" s="7" t="str">
        <x:v>Kresla 48-Inch Freestanding Vanity</x:v>
      </x:c>
      <x:c r="D43" s="7" t="str"/>
      <x:c r="E43" s="10" t="str">
        <x:v>Outside EPA WaterSense faucet/toilet/showerhead categories</x:v>
      </x:c>
      <x:c r="F43" s="7" t="str"/>
      <x:c r="G43" s="7" t="str"/>
      <x:c r="H43" s="7" t="str"/>
      <x:c r="I43" s="7" t="str"/>
      <x:c r="J43" s="7" t="str"/>
      <x:c r="K43" s="7" t="str"/>
      <x:c r="L43" s="7" t="str"/>
      <x:c r="M43" s="7" t="str">
        <x:v>https://lookforwatersense.epa.gov/products/</x:v>
      </x:c>
      <x:c r="N43" s="9" t="str">
        <x:v>2026-10-05</x:v>
      </x:c>
      <x:c r="O43" s="11" t="str">
        <x:v>EPA’s WaterSense export has no vanity or bathtub product category. These products may need manufacturer EPD/material data from non-EPA sources.</x:v>
      </x:c>
    </x:row>
    <x:row r="44" ht="48" customHeight="1">
      <x:c r="A44" s="7" t="str">
        <x:v>vanities</x:v>
      </x:c>
      <x:c r="B44" s="7" t="str">
        <x:v>K-CM99539-BD1-1WM</x:v>
      </x:c>
      <x:c r="C44" s="7" t="str">
        <x:v>Tailored 24-Inch Wall-Mount Floating Vanity</x:v>
      </x:c>
      <x:c r="D44" s="7" t="str"/>
      <x:c r="E44" s="10" t="str">
        <x:v>Outside EPA WaterSense faucet/toilet/showerhead categories</x:v>
      </x:c>
      <x:c r="F44" s="7" t="str"/>
      <x:c r="G44" s="7" t="str"/>
      <x:c r="H44" s="7" t="str"/>
      <x:c r="I44" s="7" t="str"/>
      <x:c r="J44" s="7" t="str"/>
      <x:c r="K44" s="7" t="str"/>
      <x:c r="L44" s="7" t="str"/>
      <x:c r="M44" s="7" t="str">
        <x:v>https://lookforwatersense.epa.gov/products/</x:v>
      </x:c>
      <x:c r="N44" s="9" t="str">
        <x:v>2026-10-05</x:v>
      </x:c>
      <x:c r="O44" s="11" t="str">
        <x:v>EPA’s WaterSense export has no vanity or bathtub product category. These products may need manufacturer EPD/material data from non-EPA sources.</x:v>
      </x:c>
    </x:row>
    <x:row r="45" ht="48" customHeight="1">
      <x:c r="A45" s="7" t="str">
        <x:v>vanities</x:v>
      </x:c>
      <x:c r="B45" s="7" t="str">
        <x:v>K-39607-ASB-0</x:v>
      </x:c>
      <x:c r="C45" s="7" t="str">
        <x:v>Haddon 60-Inch Double Vanity with Marble Top</x:v>
      </x:c>
      <x:c r="D45" s="7" t="str"/>
      <x:c r="E45" s="10" t="str">
        <x:v>Outside EPA WaterSense faucet/toilet/showerhead categories</x:v>
      </x:c>
      <x:c r="F45" s="7" t="str"/>
      <x:c r="G45" s="7" t="str"/>
      <x:c r="H45" s="7" t="str"/>
      <x:c r="I45" s="7" t="str"/>
      <x:c r="J45" s="7" t="str"/>
      <x:c r="K45" s="7" t="str"/>
      <x:c r="L45" s="7" t="str"/>
      <x:c r="M45" s="7" t="str">
        <x:v>https://lookforwatersense.epa.gov/products/</x:v>
      </x:c>
      <x:c r="N45" s="9" t="str">
        <x:v>2026-10-05</x:v>
      </x:c>
      <x:c r="O45" s="11" t="str">
        <x:v>EPA’s WaterSense export has no vanity or bathtub product category. These products may need manufacturer EPD/material data from non-EPA sources.</x:v>
      </x:c>
    </x:row>
    <x:row r="46" ht="48" customHeight="1">
      <x:c r="A46" s="7" t="str">
        <x:v>bathtubs</x:v>
      </x:c>
      <x:c r="B46" s="7" t="str">
        <x:v>K-1130-0</x:v>
      </x:c>
      <x:c r="C46" s="7" t="str">
        <x:v>Underscore 60 x 32 Drop-In Soaking Bathtub</x:v>
      </x:c>
      <x:c r="D46" s="7" t="str"/>
      <x:c r="E46" s="10" t="str">
        <x:v>Outside EPA WaterSense faucet/toilet/showerhead categories</x:v>
      </x:c>
      <x:c r="F46" s="7" t="str"/>
      <x:c r="G46" s="7" t="str"/>
      <x:c r="H46" s="7" t="str"/>
      <x:c r="I46" s="7" t="str"/>
      <x:c r="J46" s="7" t="str"/>
      <x:c r="K46" s="7" t="str"/>
      <x:c r="L46" s="7" t="str"/>
      <x:c r="M46" s="7" t="str">
        <x:v>https://lookforwatersense.epa.gov/products/</x:v>
      </x:c>
      <x:c r="N46" s="9" t="str">
        <x:v>2026-10-05</x:v>
      </x:c>
      <x:c r="O46" s="11" t="str">
        <x:v>EPA’s WaterSense export has no vanity or bathtub product category. These products may need manufacturer EPD/material data from non-EPA sources.</x:v>
      </x:c>
    </x:row>
    <x:row r="47" ht="48" customHeight="1">
      <x:c r="A47" s="7" t="str">
        <x:v>bathtubs</x:v>
      </x:c>
      <x:c r="B47" s="7" t="str">
        <x:v>K-6367-0</x:v>
      </x:c>
      <x:c r="C47" s="7" t="str">
        <x:v>Stargaze 72 x 36 Freestanding Fluted Bathtub</x:v>
      </x:c>
      <x:c r="D47" s="7" t="str"/>
      <x:c r="E47" s="10" t="str">
        <x:v>Outside EPA WaterSense faucet/toilet/showerhead categories</x:v>
      </x:c>
      <x:c r="F47" s="7" t="str"/>
      <x:c r="G47" s="7" t="str"/>
      <x:c r="H47" s="7" t="str"/>
      <x:c r="I47" s="7" t="str"/>
      <x:c r="J47" s="7" t="str"/>
      <x:c r="K47" s="7" t="str"/>
      <x:c r="L47" s="7" t="str"/>
      <x:c r="M47" s="7" t="str">
        <x:v>https://lookforwatersense.epa.gov/products/</x:v>
      </x:c>
      <x:c r="N47" s="9" t="str">
        <x:v>2026-10-05</x:v>
      </x:c>
      <x:c r="O47" s="11" t="str">
        <x:v>EPA’s WaterSense export has no vanity or bathtub product category. These products may need manufacturer EPD/material data from non-EPA sources.</x:v>
      </x:c>
    </x:row>
    <x:row r="48" ht="48" customHeight="1">
      <x:c r="A48" s="7" t="str">
        <x:v>bathtubs</x:v>
      </x:c>
      <x:c r="B48" s="7" t="str">
        <x:v>K-1123-LA-96</x:v>
      </x:c>
      <x:c r="C48" s="7" t="str">
        <x:v>Archer 60 x 32 Alcove Soaking Bathtub</x:v>
      </x:c>
      <x:c r="D48" s="7" t="str"/>
      <x:c r="E48" s="10" t="str">
        <x:v>Outside EPA WaterSense faucet/toilet/showerhead categories</x:v>
      </x:c>
      <x:c r="F48" s="7" t="str"/>
      <x:c r="G48" s="7" t="str"/>
      <x:c r="H48" s="7" t="str"/>
      <x:c r="I48" s="7" t="str"/>
      <x:c r="J48" s="7" t="str"/>
      <x:c r="K48" s="7" t="str"/>
      <x:c r="L48" s="7" t="str"/>
      <x:c r="M48" s="7" t="str">
        <x:v>https://lookforwatersense.epa.gov/products/</x:v>
      </x:c>
      <x:c r="N48" s="9" t="str">
        <x:v>2026-10-05</x:v>
      </x:c>
      <x:c r="O48" s="11" t="str">
        <x:v>EPA’s WaterSense export has no vanity or bathtub product category. These products may need manufacturer EPD/material data from non-EPA sources.</x:v>
      </x:c>
    </x:row>
    <x:row r="49" ht="48" customHeight="1">
      <x:c r="A49" s="7" t="str">
        <x:v>bathtubs</x:v>
      </x:c>
      <x:c r="B49" s="7" t="str">
        <x:v>K-8332-0</x:v>
      </x:c>
      <x:c r="C49" s="7" t="str">
        <x:v>Memoirs 60 x 34 Lithocast Freestanding Bathtub</x:v>
      </x:c>
      <x:c r="D49" s="7" t="str"/>
      <x:c r="E49" s="10" t="str">
        <x:v>Outside EPA WaterSense faucet/toilet/showerhead categories</x:v>
      </x:c>
      <x:c r="F49" s="7" t="str"/>
      <x:c r="G49" s="7" t="str"/>
      <x:c r="H49" s="7" t="str"/>
      <x:c r="I49" s="7" t="str"/>
      <x:c r="J49" s="7" t="str"/>
      <x:c r="K49" s="7" t="str"/>
      <x:c r="L49" s="7" t="str"/>
      <x:c r="M49" s="7" t="str">
        <x:v>https://lookforwatersense.epa.gov/products/</x:v>
      </x:c>
      <x:c r="N49" s="9" t="str">
        <x:v>2026-10-05</x:v>
      </x:c>
      <x:c r="O49" s="11" t="str">
        <x:v>EPA’s WaterSense export has no vanity or bathtub product category. These products may need manufacturer EPD/material data from non-EPA sources.</x:v>
      </x:c>
    </x:row>
    <x:row r="50" ht="48" customHeight="1">
      <x:c r="A50" s="7" t="str">
        <x:v>bathtubs</x:v>
      </x:c>
      <x:c r="B50" s="7" t="str">
        <x:v>K-24002-W1-0</x:v>
      </x:c>
      <x:c r="C50" s="7" t="str">
        <x:v>Sunstruck 60 x 34 Oval Freestanding Bathtub</x:v>
      </x:c>
      <x:c r="D50" s="7" t="str"/>
      <x:c r="E50" s="10" t="str">
        <x:v>Outside EPA WaterSense faucet/toilet/showerhead categories</x:v>
      </x:c>
      <x:c r="F50" s="7" t="str"/>
      <x:c r="G50" s="7" t="str"/>
      <x:c r="H50" s="7" t="str"/>
      <x:c r="I50" s="7" t="str"/>
      <x:c r="J50" s="7" t="str"/>
      <x:c r="K50" s="7" t="str"/>
      <x:c r="L50" s="7" t="str"/>
      <x:c r="M50" s="7" t="str">
        <x:v>https://lookforwatersense.epa.gov/products/</x:v>
      </x:c>
      <x:c r="N50" s="9" t="str">
        <x:v>2026-10-05</x:v>
      </x:c>
      <x:c r="O50" s="11" t="str">
        <x:v>EPA’s WaterSense export has no vanity or bathtub product category. These products may need manufacturer EPD/material data from non-EPA sources.</x:v>
      </x:c>
    </x:row>
    <x:row r="51" ht="48" customHeight="1">
      <x:c r="A51" s="7" t="str">
        <x:v>bathtubs</x:v>
      </x:c>
      <x:c r="B51" s="7" t="str">
        <x:v>K-20201-LA-0</x:v>
      </x:c>
      <x:c r="C51" s="7" t="str">
        <x:v>Underscore 60 x 30 Alcove Soaking Bathtub</x:v>
      </x:c>
      <x:c r="D51" s="7" t="str"/>
      <x:c r="E51" s="10" t="str">
        <x:v>Outside EPA WaterSense faucet/toilet/showerhead categories</x:v>
      </x:c>
      <x:c r="F51" s="7" t="str"/>
      <x:c r="G51" s="7" t="str"/>
      <x:c r="H51" s="7" t="str"/>
      <x:c r="I51" s="7" t="str"/>
      <x:c r="J51" s="7" t="str"/>
      <x:c r="K51" s="7" t="str"/>
      <x:c r="L51" s="7" t="str"/>
      <x:c r="M51" s="7" t="str">
        <x:v>https://lookforwatersense.epa.gov/products/</x:v>
      </x:c>
      <x:c r="N51" s="9" t="str">
        <x:v>2026-10-05</x:v>
      </x:c>
      <x:c r="O51" s="11" t="str">
        <x:v>EPA’s WaterSense export has no vanity or bathtub product category. These products may need manufacturer EPD/material data from non-EPA sources.</x:v>
      </x:c>
    </x:row>
    <x:row r="52" ht="48" customHeight="1">
      <x:c r="A52" s="7" t="str">
        <x:v>bathtubs</x:v>
      </x:c>
      <x:c r="B52" s="7" t="str">
        <x:v>K-722-0</x:v>
      </x:c>
      <x:c r="C52" s="7" t="str">
        <x:v>Memoirs 60 x 34 Cast Iron Alcove Bathtub</x:v>
      </x:c>
      <x:c r="D52" s="7" t="str"/>
      <x:c r="E52" s="10" t="str">
        <x:v>Outside EPA WaterSense faucet/toilet/showerhead categories</x:v>
      </x:c>
      <x:c r="F52" s="7" t="str"/>
      <x:c r="G52" s="7" t="str"/>
      <x:c r="H52" s="7" t="str"/>
      <x:c r="I52" s="7" t="str"/>
      <x:c r="J52" s="7" t="str"/>
      <x:c r="K52" s="7" t="str"/>
      <x:c r="L52" s="7" t="str"/>
      <x:c r="M52" s="7" t="str">
        <x:v>https://lookforwatersense.epa.gov/products/</x:v>
      </x:c>
      <x:c r="N52" s="9" t="str">
        <x:v>2026-10-05</x:v>
      </x:c>
      <x:c r="O52" s="11" t="str">
        <x:v>EPA’s WaterSense export has no vanity or bathtub product category. These products may need manufacturer EPD/material data from non-EPA sources.</x:v>
      </x:c>
    </x:row>
    <x:row r="53" ht="48" customHeight="1">
      <x:c r="A53" s="7" t="str">
        <x:v>bathtubs</x:v>
      </x:c>
      <x:c r="B53" s="7" t="str">
        <x:v>K-25831-0</x:v>
      </x:c>
      <x:c r="C53" s="7" t="str">
        <x:v>Avec 60 x 32 Bathtub</x:v>
      </x:c>
      <x:c r="D53" s="7" t="str"/>
      <x:c r="E53" s="10" t="str">
        <x:v>Outside EPA WaterSense faucet/toilet/showerhead categories</x:v>
      </x:c>
      <x:c r="F53" s="7" t="str"/>
      <x:c r="G53" s="7" t="str"/>
      <x:c r="H53" s="7" t="str"/>
      <x:c r="I53" s="7" t="str"/>
      <x:c r="J53" s="7" t="str"/>
      <x:c r="K53" s="7" t="str"/>
      <x:c r="L53" s="7" t="str"/>
      <x:c r="M53" s="7" t="str">
        <x:v>https://lookforwatersense.epa.gov/products/</x:v>
      </x:c>
      <x:c r="N53" s="9" t="str">
        <x:v>2026-10-05</x:v>
      </x:c>
      <x:c r="O53" s="11" t="str">
        <x:v>EPA’s WaterSense export has no vanity or bathtub product category. These products may need manufacturer EPD/material data from non-EPA sources.</x:v>
      </x:c>
    </x:row>
    <x:row r="54" ht="48" customHeight="1">
      <x:c r="A54" s="7" t="str">
        <x:v>bathtubs</x:v>
      </x:c>
      <x:c r="B54" s="7" t="str">
        <x:v>K-710-P5-0</x:v>
      </x:c>
      <x:c r="C54" s="7" t="str">
        <x:v>Iron Works 66 x 36 Clawfoot Cast Iron Bathtub</x:v>
      </x:c>
      <x:c r="D54" s="7" t="str"/>
      <x:c r="E54" s="10" t="str">
        <x:v>Outside EPA WaterSense faucet/toilet/showerhead categories</x:v>
      </x:c>
      <x:c r="F54" s="7" t="str"/>
      <x:c r="G54" s="7" t="str"/>
      <x:c r="H54" s="7" t="str"/>
      <x:c r="I54" s="7" t="str"/>
      <x:c r="J54" s="7" t="str"/>
      <x:c r="K54" s="7" t="str"/>
      <x:c r="L54" s="7" t="str"/>
      <x:c r="M54" s="7" t="str">
        <x:v>https://lookforwatersense.epa.gov/products/</x:v>
      </x:c>
      <x:c r="N54" s="9" t="str">
        <x:v>2026-10-05</x:v>
      </x:c>
      <x:c r="O54" s="11" t="str">
        <x:v>EPA’s WaterSense export has no vanity or bathtub product category. These products may need manufacturer EPD/material data from non-EPA sources.</x:v>
      </x:c>
    </x:row>
    <x:row r="55" ht="48" customHeight="1">
      <x:c r="A55" s="7" t="str">
        <x:v>bathtubs</x:v>
      </x:c>
      <x:c r="B55" s="7" t="str">
        <x:v>K-1800-0</x:v>
      </x:c>
      <x:c r="C55" s="7" t="str">
        <x:v>Abrazo 66 x 31 Lithocast Freestanding Bathtub</x:v>
      </x:c>
      <x:c r="D55" s="7" t="str"/>
      <x:c r="E55" s="10" t="str">
        <x:v>Outside EPA WaterSense faucet/toilet/showerhead categories</x:v>
      </x:c>
      <x:c r="F55" s="7" t="str"/>
      <x:c r="G55" s="7" t="str"/>
      <x:c r="H55" s="7" t="str"/>
      <x:c r="I55" s="7" t="str"/>
      <x:c r="J55" s="7" t="str"/>
      <x:c r="K55" s="7" t="str"/>
      <x:c r="L55" s="7" t="str"/>
      <x:c r="M55" s="7" t="str">
        <x:v>https://lookforwatersense.epa.gov/products/</x:v>
      </x:c>
      <x:c r="N55" s="9" t="str">
        <x:v>2026-10-05</x:v>
      </x:c>
      <x:c r="O55" s="11" t="str">
        <x:v>EPA’s WaterSense export has no vanity or bathtub product category. These products may need manufacturer EPD/material data from non-EPA sources.</x:v>
      </x:c>
    </x:row>
  </x:sheetData>
  <x:pageMargins left="0.7" right="0.7" top="0.75" bottom="0.75" header="0.3" footer="0.3"/>
  <x:tableParts count="1">
    <x:tablePart xmlns:r="http://schemas.openxmlformats.org/officeDocument/2006/relationships" r:id="Rc40937cfa42c4fd5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Kohler Sustainability Data Workbook</x:v>
      </x:c>
      <x:c r="B2" s="2"/>
      <x:c r="C2" s="2"/>
      <x:c r="D2" s="2"/>
      <x:c r="E2" s="2"/>
      <x:c r="F2" s="2"/>
    </x:row>
    <x:row r="3">
      <x:c r="A3" s="4" t="str">
        <x:v>Source-backed data intake and scenario estimates for the Kohler bathroom designer project.</x:v>
      </x:c>
      <x:c r="B3" s="4"/>
      <x:c r="C3" s="4"/>
      <x:c r="D3" s="4"/>
      <x:c r="E3" s="4"/>
      <x:c r="F3" s="4"/>
    </x:row>
    <x:row r="5" ht="38" customHeight="1">
      <x:c r="A5" s="13" t="str">
        <x:v>Coverage</x:v>
      </x:c>
      <x:c r="B5" s="14" t="str">
        <x:v>50 items currently present in data/products.json; each has an EPA category lookup result in EPA Product Check.</x:v>
      </x:c>
    </x:row>
    <x:row r="6" ht="38" customHeight="1">
      <x:c r="A6" s="13" t="str">
        <x:v>Important limitation</x:v>
      </x:c>
      <x:c r="B6" s="14" t="str">
        <x:v>This checks your current app catalog only, not every product Kohler sells. EPA WaterSense covers faucets, toilets and showerheads here, not vanities or bathtubs.</x:v>
      </x:c>
    </x:row>
    <x:row r="7" ht="38" customHeight="1">
      <x:c r="A7" s="15" t="str">
        <x:v>Data integrity</x:v>
      </x:c>
      <x:c r="B7" s="16" t="str">
        <x:v>EPA values are copied from EPA’s official product export. App model names/rates remain labeled unverified; EPA wildcard rows are candidates until exact variants are confirmed.</x:v>
      </x:c>
    </x:row>
    <x:row r="8" ht="38" customHeight="1">
      <x:c r="A8" s="17" t="str">
        <x:v>Use</x:v>
      </x:c>
      <x:c r="B8" s="18" t="str">
        <x:v>Start on EPA Product Check. Use Verified Data only after confirming the exact manufacturer model/variant and EPA listing.</x:v>
      </x:c>
    </x:row>
    <x:row r="9" ht="38" customHeight="1">
      <x:c r="A9" s="13" t="str">
        <x:v>Certification rule</x:v>
      </x:c>
      <x:c r="B9" s="14" t="str">
        <x:v>Only claim WaterSense for a specific item after its full model number/variant is confirmed against EPA’s labeled-model record. Flow rate alone is not proof.</x:v>
      </x:c>
    </x:row>
    <x:row r="10" ht="38" customHeight="1">
      <x:c r="A10" s="13" t="str">
        <x:v>Scope distinction</x:v>
      </x:c>
      <x:c r="B10" s="14" t="str">
        <x:v>Annual savings and energy are estimates driven by scenario assumptions. Layout density/clearance checks require room geometry and applicable local rules; they are not product-data fields.</x:v>
      </x:c>
    </x:row>
    <x:row r="12" ht="28" customHeight="1">
      <x:c r="A12" s="20" t="str">
        <x:v>Recommended workflow</x:v>
      </x:c>
      <x:c r="B12" s="14" t="str">
        <x:v>1) Confirm model numbers/variants against Kohler product pages.</x:v>
      </x:c>
    </x:row>
    <x:row r="13" ht="28" customHeight="1">
      <x:c r="A13" s="20" t="str"/>
      <x:c r="B13" s="14" t="str">
        <x:v>2) Download the latest EPA WaterSense XLSX and match exact models.</x:v>
      </x:c>
    </x:row>
    <x:row r="14" ht="28" customHeight="1">
      <x:c r="A14" s="20" t="str"/>
      <x:c r="B14" s="14" t="str">
        <x:v>3) Add manufacturer / EPA source URLs and access dates to Verified Data.</x:v>
      </x:c>
    </x:row>
    <x:row r="15" ht="28" customHeight="1">
      <x:c r="A15" s="20" t="str"/>
      <x:c r="B15" s="14" t="str">
        <x:v>4) Fill the yellow scenario inputs; estimates calculate only when verification and numeric inputs are present.</x:v>
      </x:c>
    </x:row>
    <x:row r="17" ht="36" customHeight="1">
      <x:c r="A17" s="13" t="str">
        <x:v>Recommended project integration</x:v>
      </x:c>
      <x:c r="B17" s="14" t="str">
        <x:v>Join sustainability data to product records by exact model/SKU, not by name. Keep sources and verification dates in the API payload.</x:v>
      </x:c>
    </x:row>
    <x:row r="18" ht="36" customHeight="1">
      <x:c r="A18" s="13" t="str">
        <x:v>UI labeling</x:v>
      </x:c>
      <x:c r="B18" s="14" t="str">
        <x:v>Show “verified product fact” separately from “estimated scenario result”; display “Data not verified” where evidence is absent.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42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60" hidden="0" customWidth="1"/>
    <x:col min="9" max="9" width="24" hidden="0" customWidth="1"/>
    <x:col min="10" max="10" width="34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Current Project Catalog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Copied from data/products.json. Existing app values are not independently verified manufacturer data.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34" customHeight="1">
      <x:c r="A5" s="6" t="str">
        <x:v>Category</x:v>
      </x:c>
      <x:c r="B5" s="6" t="str">
        <x:v>App model ID</x:v>
      </x:c>
      <x:c r="C5" s="6" t="str">
        <x:v>Product name in app</x:v>
      </x:c>
      <x:c r="D5" s="6" t="str">
        <x:v>App price (USD)</x:v>
      </x:c>
      <x:c r="E5" s="6" t="str">
        <x:v>App flow / flush text</x:v>
      </x:c>
      <x:c r="F5" s="6" t="str">
        <x:v>App width (in)</x:v>
      </x:c>
      <x:c r="G5" s="6" t="str">
        <x:v>App depth (in)</x:v>
      </x:c>
      <x:c r="H5" s="6" t="str">
        <x:v>App features (as supplied)</x:v>
      </x:c>
      <x:c r="I5" s="6" t="str">
        <x:v>Catalog source</x:v>
      </x:c>
      <x:c r="J5" s="6" t="str">
        <x:v>Verification status</x:v>
      </x:c>
    </x:row>
    <x:row r="6" ht="24" customHeight="1">
      <x:c r="A6" s="7" t="str">
        <x:v>faucets</x:v>
      </x:c>
      <x:c r="B6" s="7" t="str">
        <x:v>K-14402-4A-BL</x:v>
      </x:c>
      <x:c r="C6" s="7" t="str">
        <x:v>Kohler Purist Single-Handle Bathroom Faucet</x:v>
      </x:c>
      <x:c r="D6" s="21" t="n">
        <x:v>435</x:v>
      </x:c>
      <x:c r="E6" s="7" t="str">
        <x:v>1.2 GPM</x:v>
      </x:c>
      <x:c r="F6" s="22" t="n">
        <x:v>2.25</x:v>
      </x:c>
      <x:c r="G6" s="22" t="n">
        <x:v>5.5</x:v>
      </x:c>
      <x:c r="H6" s="11" t="str">
        <x:v>Architectural form with sensual design lines | Single lever handle for precise control | Water-saving low-flow aerator</x:v>
      </x:c>
      <x:c r="I6" s="7" t="str">
        <x:v>data/products.json</x:v>
      </x:c>
      <x:c r="J6" s="8" t="str">
        <x:v>Unverified — project catalog only</x:v>
      </x:c>
    </x:row>
    <x:row r="7" ht="24" customHeight="1">
      <x:c r="A7" s="7" t="str">
        <x:v>faucets</x:v>
      </x:c>
      <x:c r="B7" s="7" t="str">
        <x:v>K-73159IN-7-CP</x:v>
      </x:c>
      <x:c r="C7" s="7" t="str">
        <x:v>Kohler Composed Tall Single-Handle Vessel Faucet</x:v>
      </x:c>
      <x:c r="D7" s="21" t="n">
        <x:v>480</x:v>
      </x:c>
      <x:c r="E7" s="7" t="str">
        <x:v>1.2 GPM</x:v>
      </x:c>
      <x:c r="F7" s="22" t="n">
        <x:v>2</x:v>
      </x:c>
      <x:c r="G7" s="22" t="n">
        <x:v>6.8</x:v>
      </x:c>
      <x:c r="H7" s="11" t="str">
        <x:v>Timeless understated minimalist profile | Tall cylindrical spout tailored for vessel sinks | Solid brass construction for lasting durability</x:v>
      </x:c>
      <x:c r="I7" s="7" t="str">
        <x:v>data/products.json</x:v>
      </x:c>
      <x:c r="J7" s="8" t="str">
        <x:v>Unverified — project catalog only</x:v>
      </x:c>
    </x:row>
    <x:row r="8" ht="24" customHeight="1">
      <x:c r="A8" s="7" t="str">
        <x:v>faucets</x:v>
      </x:c>
      <x:c r="B8" s="7" t="str">
        <x:v>K-72759-BN</x:v>
      </x:c>
      <x:c r="C8" s="7" t="str">
        <x:v>Kohler Artifacts Widespread Bathroom Faucet</x:v>
      </x:c>
      <x:c r="D8" s="21" t="n">
        <x:v>775</x:v>
      </x:c>
      <x:c r="E8" s="7" t="str">
        <x:v>1.2 GPM</x:v>
      </x:c>
      <x:c r="F8" s="22" t="n">
        <x:v>8</x:v>
      </x:c>
      <x:c r="G8" s="22" t="n">
        <x:v>5.5</x:v>
      </x:c>
      <x:c r="H8" s="11" t="str">
        <x:v>Victorian turn-of-the-century heritage charm | Artisanal widespread column spout design | UltraGlide leak-free ceramic disc valves</x:v>
      </x:c>
      <x:c r="I8" s="7" t="str">
        <x:v>data/products.json</x:v>
      </x:c>
      <x:c r="J8" s="8" t="str">
        <x:v>Unverified — project catalog only</x:v>
      </x:c>
    </x:row>
    <x:row r="9" ht="24" customHeight="1">
      <x:c r="A9" s="7" t="str">
        <x:v>faucets</x:v>
      </x:c>
      <x:c r="B9" s="7" t="str">
        <x:v>K-23472IN-4-CP</x:v>
      </x:c>
      <x:c r="C9" s="7" t="str">
        <x:v>Kohler Parallel Single-Handle Bathroom Faucet</x:v>
      </x:c>
      <x:c r="D9" s="21" t="n">
        <x:v>215</x:v>
      </x:c>
      <x:c r="E9" s="7" t="str">
        <x:v>1.2 GPM</x:v>
      </x:c>
      <x:c r="F9" s="22" t="n">
        <x:v>2.1</x:v>
      </x:c>
      <x:c r="G9" s="22" t="n">
        <x:v>5.25</x:v>
      </x:c>
      <x:c r="H9" s="11" t="str">
        <x:v>Harmonious blend of circular and square geometry | Soft aerated splash-free stream | Pre-attached flexible supply lines</x:v>
      </x:c>
      <x:c r="I9" s="7" t="str">
        <x:v>data/products.json</x:v>
      </x:c>
      <x:c r="J9" s="8" t="str">
        <x:v>Unverified — project catalog only</x:v>
      </x:c>
    </x:row>
    <x:row r="10" ht="24" customHeight="1">
      <x:c r="A10" s="7" t="str">
        <x:v>faucets</x:v>
      </x:c>
      <x:c r="B10" s="7" t="str">
        <x:v>K-27485IN-4-CP</x:v>
      </x:c>
      <x:c r="C10" s="7" t="str">
        <x:v>Kohler Fore Line Single-Handle Bathroom Faucet</x:v>
      </x:c>
      <x:c r="D10" s="21" t="n">
        <x:v>75</x:v>
      </x:c>
      <x:c r="E10" s="7" t="str">
        <x:v>1.5 GPM</x:v>
      </x:c>
      <x:c r="F10" s="22" t="n">
        <x:v>1.8</x:v>
      </x:c>
      <x:c r="G10" s="22" t="n">
        <x:v>4.8</x:v>
      </x:c>
      <x:c r="H10" s="11" t="str">
        <x:v>Refined minimalist modern silhouette | Budget-friendly value entry point | Effortless single-lever water control</x:v>
      </x:c>
      <x:c r="I10" s="7" t="str">
        <x:v>data/products.json</x:v>
      </x:c>
      <x:c r="J10" s="8" t="str">
        <x:v>Unverified — project catalog only</x:v>
      </x:c>
    </x:row>
    <x:row r="11" ht="24" customHeight="1">
      <x:c r="A11" s="7" t="str">
        <x:v>faucets</x:v>
      </x:c>
      <x:c r="B11" s="7" t="str">
        <x:v>K-23967IN-4ND-CP</x:v>
      </x:c>
      <x:c r="C11" s="7" t="str">
        <x:v>Kohler Vive Tall Single-Handle Bathroom Faucet</x:v>
      </x:c>
      <x:c r="D11" s="21" t="n">
        <x:v>150</x:v>
      </x:c>
      <x:c r="E11" s="7" t="str">
        <x:v>1.2 GPM</x:v>
      </x:c>
      <x:c r="F11" s="22" t="n">
        <x:v>2.1</x:v>
      </x:c>
      <x:c r="G11" s="22" t="n">
        <x:v>6.2</x:v>
      </x:c>
      <x:c r="H11" s="11" t="str">
        <x:v>Playful, gently narrowing ergonomic form | Tall profile suited for vessel basins | Smooth fluid water volume control</x:v>
      </x:c>
      <x:c r="I11" s="7" t="str">
        <x:v>data/products.json</x:v>
      </x:c>
      <x:c r="J11" s="8" t="str">
        <x:v>Unverified — project catalog only</x:v>
      </x:c>
    </x:row>
    <x:row r="12" ht="24" customHeight="1">
      <x:c r="A12" s="7" t="str">
        <x:v>faucets</x:v>
      </x:c>
      <x:c r="B12" s="7" t="str">
        <x:v>K-14660-4-CP</x:v>
      </x:c>
      <x:c r="C12" s="7" t="str">
        <x:v>Kohler Loure Single-Handle Bathroom Faucet</x:v>
      </x:c>
      <x:c r="D12" s="21" t="n">
        <x:v>725</x:v>
      </x:c>
      <x:c r="E12" s="7" t="str">
        <x:v>1.2 GPM</x:v>
      </x:c>
      <x:c r="F12" s="22" t="n">
        <x:v>2</x:v>
      </x:c>
      <x:c r="G12" s="22" t="n">
        <x:v>5.25</x:v>
      </x:c>
      <x:c r="H12" s="11" t="str">
        <x:v>Waterfall-inspired serene water delivery | Sleek contemporary profile | Ceramic disc valving for lifetime performance</x:v>
      </x:c>
      <x:c r="I12" s="7" t="str">
        <x:v>data/products.json</x:v>
      </x:c>
      <x:c r="J12" s="8" t="str">
        <x:v>Unverified — project catalog only</x:v>
      </x:c>
    </x:row>
    <x:row r="13" ht="24" customHeight="1">
      <x:c r="A13" s="7" t="str">
        <x:v>faucets</x:v>
      </x:c>
      <x:c r="B13" s="7" t="str">
        <x:v>K-393-N4-CP</x:v>
      </x:c>
      <x:c r="C13" s="7" t="str">
        <x:v>Kohler Devonshire Centerset Bathroom Faucet</x:v>
      </x:c>
      <x:c r="D13" s="21" t="n">
        <x:v>220</x:v>
      </x:c>
      <x:c r="E13" s="7" t="str">
        <x:v>1.2 GPM</x:v>
      </x:c>
      <x:c r="F13" s="22" t="n">
        <x:v>6</x:v>
      </x:c>
      <x:c r="G13" s="22" t="n">
        <x:v>4.88</x:v>
      </x:c>
      <x:c r="H13" s="11" t="str">
        <x:v>Old-world elegance with classic curves | Compact 4-inch centerset configuration | Scratch- and tarnish-resistant finish</x:v>
      </x:c>
      <x:c r="I13" s="7" t="str">
        <x:v>data/products.json</x:v>
      </x:c>
      <x:c r="J13" s="8" t="str">
        <x:v>Unverified — project catalog only</x:v>
      </x:c>
    </x:row>
    <x:row r="14" ht="24" customHeight="1">
      <x:c r="A14" s="7" t="str">
        <x:v>faucets</x:v>
      </x:c>
      <x:c r="B14" s="7" t="str">
        <x:v>K-72288IN-4-CP</x:v>
      </x:c>
      <x:c r="C14" s="7" t="str">
        <x:v>Kohler Aleo Single-Control Pillar Faucet</x:v>
      </x:c>
      <x:c r="D14" s="21" t="n">
        <x:v>60</x:v>
      </x:c>
      <x:c r="E14" s="7" t="str">
        <x:v>1.5 GPM</x:v>
      </x:c>
      <x:c r="F14" s="22" t="n">
        <x:v>1.8</x:v>
      </x:c>
      <x:c r="G14" s="22" t="n">
        <x:v>4.5</x:v>
      </x:c>
      <x:c r="H14" s="11" t="str">
        <x:v>Flat surface handle creating clean lines | Essential simplicity for modern spaces | Durable polished metal construction</x:v>
      </x:c>
      <x:c r="I14" s="7" t="str">
        <x:v>data/products.json</x:v>
      </x:c>
      <x:c r="J14" s="8" t="str">
        <x:v>Unverified — project catalog only</x:v>
      </x:c>
    </x:row>
    <x:row r="15" ht="24" customHeight="1">
      <x:c r="A15" s="7" t="str">
        <x:v>faucets</x:v>
      </x:c>
      <x:c r="B15" s="7" t="str">
        <x:v>K-77958-4-BL</x:v>
      </x:c>
      <x:c r="C15" s="7" t="str">
        <x:v>Kohler Components Widespread Bathroom Faucet</x:v>
      </x:c>
      <x:c r="D15" s="21" t="n">
        <x:v>585</x:v>
      </x:c>
      <x:c r="E15" s="7" t="str">
        <x:v>1.2 GPM</x:v>
      </x:c>
      <x:c r="F15" s="22" t="n">
        <x:v>8</x:v>
      </x:c>
      <x:c r="G15" s="22" t="n">
        <x:v>6.1</x:v>
      </x:c>
      <x:c r="H15" s="11" t="str">
        <x:v>Stark industrial angles and controlled forms | Dual lever handles with precise quarter-turn control | Ultra-durable matte black powder coating</x:v>
      </x:c>
      <x:c r="I15" s="7" t="str">
        <x:v>data/products.json</x:v>
      </x:c>
      <x:c r="J15" s="8" t="str">
        <x:v>Unverified — project catalog only</x:v>
      </x:c>
    </x:row>
    <x:row r="16" ht="24" customHeight="1">
      <x:c r="A16" s="7" t="str">
        <x:v>toilets</x:v>
      </x:c>
      <x:c r="B16" s="7" t="str">
        <x:v>K-3999-0</x:v>
      </x:c>
      <x:c r="C16" s="7" t="str">
        <x:v>Highline Comfort Height Two-Piece Toilet</x:v>
      </x:c>
      <x:c r="D16" s="21" t="n">
        <x:v>320</x:v>
      </x:c>
      <x:c r="E16" s="7" t="str">
        <x:v>1.28 GPF</x:v>
      </x:c>
      <x:c r="F16" s="22" t="n">
        <x:v>18</x:v>
      </x:c>
      <x:c r="G16" s="22" t="n">
        <x:v>29</x:v>
      </x:c>
      <x:c r="H16" s="11" t="str">
        <x:v>Class Five flushing power for clog-free performance | Comfort Height chair-style seating position | Standard 12-inch rough-in with two-piece design</x:v>
      </x:c>
      <x:c r="I16" s="7" t="str">
        <x:v>data/products.json</x:v>
      </x:c>
      <x:c r="J16" s="8" t="str">
        <x:v>Unverified — project catalog only</x:v>
      </x:c>
    </x:row>
    <x:row r="17" ht="24" customHeight="1">
      <x:c r="A17" s="7" t="str">
        <x:v>toilets</x:v>
      </x:c>
      <x:c r="B17" s="7" t="str">
        <x:v>K-3810-0</x:v>
      </x:c>
      <x:c r="C17" s="7" t="str">
        <x:v>Santa Rosa Compact Elongated One-Piece Toilet</x:v>
      </x:c>
      <x:c r="D17" s="21" t="n">
        <x:v>450</x:v>
      </x:c>
      <x:c r="E17" s="7" t="str">
        <x:v>1.28 GPF</x:v>
      </x:c>
      <x:c r="F17" s="22" t="n">
        <x:v>16.5</x:v>
      </x:c>
      <x:c r="G17" s="22" t="n">
        <x:v>27.5</x:v>
      </x:c>
      <x:c r="H17" s="11" t="str">
        <x:v>Seamless one-piece design for easy cleaning | Revolution 360 swirl flushing technology | Compact elongated bowl fits round-front footprint</x:v>
      </x:c>
      <x:c r="I17" s="7" t="str">
        <x:v>data/products.json</x:v>
      </x:c>
      <x:c r="J17" s="8" t="str">
        <x:v>Unverified — project catalog only</x:v>
      </x:c>
    </x:row>
    <x:row r="18" ht="24" customHeight="1">
      <x:c r="A18" s="7" t="str">
        <x:v>toilets</x:v>
      </x:c>
      <x:c r="B18" s="7" t="str">
        <x:v>K-6355-0</x:v>
      </x:c>
      <x:c r="C18" s="7" t="str">
        <x:v>Persuade Curated Dual-Flush Skirted Toilet</x:v>
      </x:c>
      <x:c r="D18" s="21" t="n">
        <x:v>590</x:v>
      </x:c>
      <x:c r="E18" s="7" t="str">
        <x:v>0.8 / 1.6 GPF</x:v>
      </x:c>
      <x:c r="F18" s="22" t="n">
        <x:v>14.5</x:v>
      </x:c>
      <x:c r="G18" s="22" t="n">
        <x:v>28</x:v>
      </x:c>
      <x:c r="H18" s="11" t="str">
        <x:v>Two-button top-mount dual flushing mechanism | Full architectural skirted trapway eliminates dust traps | Quiet-Close seat prevents sudden slamming</x:v>
      </x:c>
      <x:c r="I18" s="7" t="str">
        <x:v>data/products.json</x:v>
      </x:c>
      <x:c r="J18" s="8" t="str">
        <x:v>Unverified — project catalog only</x:v>
      </x:c>
    </x:row>
    <x:row r="19" ht="24" customHeight="1">
      <x:c r="A19" s="7" t="str">
        <x:v>toilets</x:v>
      </x:c>
      <x:c r="B19" s="7" t="str">
        <x:v>K-4007-0</x:v>
      </x:c>
      <x:c r="C19" s="7" t="str">
        <x:v>San Souci Low-Profile One-Piece Toilet</x:v>
      </x:c>
      <x:c r="D19" s="21" t="n">
        <x:v>780</x:v>
      </x:c>
      <x:c r="E19" s="7" t="str">
        <x:v>1.28 GPF</x:v>
      </x:c>
      <x:c r="F19" s="22" t="n">
        <x:v>16</x:v>
      </x:c>
      <x:c r="G19" s="22" t="n">
        <x:v>27.5</x:v>
      </x:c>
      <x:c r="H19" s="11" t="str">
        <x:v>Low-profile integrated tank and bowl silhouette | AquaPiston canister flush delivers powerful bowl clearing | Concealed trapway design for sleek aesthetic</x:v>
      </x:c>
      <x:c r="I19" s="7" t="str">
        <x:v>data/products.json</x:v>
      </x:c>
      <x:c r="J19" s="8" t="str">
        <x:v>Unverified — project catalog only</x:v>
      </x:c>
    </x:row>
    <x:row r="20" ht="24" customHeight="1">
      <x:c r="A20" s="7" t="str">
        <x:v>toilets</x:v>
      </x:c>
      <x:c r="B20" s="7" t="str">
        <x:v>K-18829-0</x:v>
      </x:c>
      <x:c r="C20" s="7" t="str">
        <x:v>Reach Wall-Hung Concealed Tank Toilet</x:v>
      </x:c>
      <x:c r="D20" s="21" t="n">
        <x:v>920</x:v>
      </x:c>
      <x:c r="E20" s="7" t="str">
        <x:v>0.8 / 1.6 GPF</x:v>
      </x:c>
      <x:c r="F20" s="22" t="n">
        <x:v>15</x:v>
      </x:c>
      <x:c r="G20" s="22" t="n">
        <x:v>21</x:v>
      </x:c>
      <x:c r="H20" s="11" t="str">
        <x:v>Floating wall-hung installation saves up to 12 inches of floor space | Concealed in-wall carrier system with dual-flush plate | Elevated bowl clearance simplifies floor mopping</x:v>
      </x:c>
      <x:c r="I20" s="7" t="str">
        <x:v>data/products.json</x:v>
      </x:c>
      <x:c r="J20" s="8" t="str">
        <x:v>Unverified — project catalog only</x:v>
      </x:c>
    </x:row>
    <x:row r="21" ht="24" customHeight="1">
      <x:c r="A21" s="7" t="str">
        <x:v>toilets</x:v>
      </x:c>
      <x:c r="B21" s="7" t="str">
        <x:v>K-3981-0</x:v>
      </x:c>
      <x:c r="C21" s="7" t="str">
        <x:v>Tresham Comfort Height Two-Piece Toilet</x:v>
      </x:c>
      <x:c r="D21" s="21" t="n">
        <x:v>640</x:v>
      </x:c>
      <x:c r="E21" s="7" t="str">
        <x:v>1.28 GPF</x:v>
      </x:c>
      <x:c r="F21" s="22" t="n">
        <x:v>17.5</x:v>
      </x:c>
      <x:c r="G21" s="22" t="n">
        <x:v>29</x:v>
      </x:c>
      <x:c r="H21" s="11" t="str">
        <x:v>Neo-traditional fluted trim inspired by Shaker design | Comfort Height seating makes sitting and standing easier | AquaPiston flushing engine for durable leak-free seal</x:v>
      </x:c>
      <x:c r="I21" s="7" t="str">
        <x:v>data/products.json</x:v>
      </x:c>
      <x:c r="J21" s="8" t="str">
        <x:v>Unverified — project catalog only</x:v>
      </x:c>
    </x:row>
    <x:row r="22" ht="24" customHeight="1">
      <x:c r="A22" s="7" t="str">
        <x:v>toilets</x:v>
      </x:c>
      <x:c r="B22" s="7" t="str">
        <x:v>K-76301-0</x:v>
      </x:c>
      <x:c r="C22" s="7" t="str">
        <x:v>Betello ContinuousClean Skirted Toilet</x:v>
      </x:c>
      <x:c r="D22" s="21" t="n">
        <x:v>860</x:v>
      </x:c>
      <x:c r="E22" s="7" t="str">
        <x:v>1.28 GPF</x:v>
      </x:c>
      <x:c r="F22" s="22" t="n">
        <x:v>16.5</x:v>
      </x:c>
      <x:c r="G22" s="22" t="n">
        <x:v>28.5</x:v>
      </x:c>
      <x:c r="H22" s="11" t="str">
        <x:v>ContinuousClean automatic bowl sanitizing dispenser | Revolution 360 swirl flushing action | Clean skirted base with covered mounting hardware</x:v>
      </x:c>
      <x:c r="I22" s="7" t="str">
        <x:v>data/products.json</x:v>
      </x:c>
      <x:c r="J22" s="8" t="str">
        <x:v>Unverified — project catalog only</x:v>
      </x:c>
    </x:row>
    <x:row r="23" ht="24" customHeight="1">
      <x:c r="A23" s="7" t="str">
        <x:v>toilets</x:v>
      </x:c>
      <x:c r="B23" s="7" t="str">
        <x:v>K-5401-0</x:v>
      </x:c>
      <x:c r="C23" s="7" t="str">
        <x:v>Veil Intelligent Smart Bidet Toilet</x:v>
      </x:c>
      <x:c r="D23" s="21" t="n">
        <x:v>2800</x:v>
      </x:c>
      <x:c r="E23" s="7" t="str">
        <x:v>0.8 / 1.28 GPF</x:v>
      </x:c>
      <x:c r="F23" s="22" t="n">
        <x:v>16</x:v>
      </x:c>
      <x:c r="G23" s="22" t="n">
        <x:v>26.5</x:v>
      </x:c>
      <x:c r="H23" s="11" t="str">
        <x:v>Hands-free motion sensor lid open and close | Integrated stainless steel bidet wand with warm water spray | Automatic UV light wand sanitization and integrated LED nightlight</x:v>
      </x:c>
      <x:c r="I23" s="7" t="str">
        <x:v>data/products.json</x:v>
      </x:c>
      <x:c r="J23" s="8" t="str">
        <x:v>Unverified — project catalog only</x:v>
      </x:c>
    </x:row>
    <x:row r="24" ht="24" customHeight="1">
      <x:c r="A24" s="7" t="str">
        <x:v>toilets</x:v>
      </x:c>
      <x:c r="B24" s="7" t="str">
        <x:v>K-77795-0</x:v>
      </x:c>
      <x:c r="C24" s="7" t="str">
        <x:v>Eir Intelligent Luxury Smart Toilet</x:v>
      </x:c>
      <x:c r="D24" s="21" t="n">
        <x:v>3600</x:v>
      </x:c>
      <x:c r="E24" s="7" t="str">
        <x:v>0.8 / 1.0 GPF</x:v>
      </x:c>
      <x:c r="F24" s="22" t="n">
        <x:v>15.5</x:v>
      </x:c>
      <x:c r="G24" s="22" t="n">
        <x:v>26</x:v>
      </x:c>
      <x:c r="H24" s="11" t="str">
        <x:v>Electrolyzed water misting for hygienic bowl pre-rinsing | Customizable spray temperature, pressure, and pulsating rhythms | Sunrise Gold accent ring with full touchscreen remote control</x:v>
      </x:c>
      <x:c r="I24" s="7" t="str">
        <x:v>data/products.json</x:v>
      </x:c>
      <x:c r="J24" s="8" t="str">
        <x:v>Unverified — project catalog only</x:v>
      </x:c>
    </x:row>
    <x:row r="25" ht="24" customHeight="1">
      <x:c r="A25" s="7" t="str">
        <x:v>toilets</x:v>
      </x:c>
      <x:c r="B25" s="7" t="str">
        <x:v>K-30754-0</x:v>
      </x:c>
      <x:c r="C25" s="7" t="str">
        <x:v>Numi 2.0 Flagship Intelligent Smart Toilet</x:v>
      </x:c>
      <x:c r="D25" s="21" t="n">
        <x:v>5400</x:v>
      </x:c>
      <x:c r="E25" s="7" t="str">
        <x:v>0.6 / 1.0 GPF</x:v>
      </x:c>
      <x:c r="F25" s="22" t="n">
        <x:v>16.5</x:v>
      </x:c>
      <x:c r="G25" s="22" t="n">
        <x:v>25.5</x:v>
      </x:c>
      <x:c r="H25" s="11" t="str">
        <x:v>Dynamic ambient mood lighting and integrated Bluetooth speakers | Heated seat, warm-air dryer, and built-in foot warmers | Built-in Amazon Alexa voice assistant with dynamic water-saving flush</x:v>
      </x:c>
      <x:c r="I25" s="7" t="str">
        <x:v>data/products.json</x:v>
      </x:c>
      <x:c r="J25" s="8" t="str">
        <x:v>Unverified — project catalog only</x:v>
      </x:c>
    </x:row>
    <x:row r="26" ht="24" customHeight="1">
      <x:c r="A26" s="7" t="str">
        <x:v>showers</x:v>
      </x:c>
      <x:c r="B26" s="7" t="str">
        <x:v>K-28238-CP</x:v>
      </x:c>
      <x:c r="C26" s="7" t="str">
        <x:v>Moxie Bluetooth Speaker Showerhead</x:v>
      </x:c>
      <x:c r="D26" s="21" t="n">
        <x:v>180</x:v>
      </x:c>
      <x:c r="E26" s="7" t="str">
        <x:v>1.75 GPM</x:v>
      </x:c>
      <x:c r="F26" s="22" t="n">
        <x:v>5</x:v>
      </x:c>
      <x:c r="G26" s="22" t="n">
        <x:v>5</x:v>
      </x:c>
      <x:c r="H26" s="11" t="str">
        <x:v>Integrated Harman Kardon Bluetooth wireless speaker | Magnetic quick-release waterproof speaker dock | Katalyst air-induction full coverage spray</x:v>
      </x:c>
      <x:c r="I26" s="7" t="str">
        <x:v>data/products.json</x:v>
      </x:c>
      <x:c r="J26" s="8" t="str">
        <x:v>Unverified — project catalog only</x:v>
      </x:c>
    </x:row>
    <x:row r="27" ht="24" customHeight="1">
      <x:c r="A27" s="7" t="str">
        <x:v>showers</x:v>
      </x:c>
      <x:c r="B27" s="7" t="str">
        <x:v>K-26290-CP</x:v>
      </x:c>
      <x:c r="C27" s="7" t="str">
        <x:v>Statement Oval Three-Function Showerhead</x:v>
      </x:c>
      <x:c r="D27" s="21" t="n">
        <x:v>175</x:v>
      </x:c>
      <x:c r="E27" s="7" t="str">
        <x:v>2.5 GPM</x:v>
      </x:c>
      <x:c r="F27" s="22" t="n">
        <x:v>6.5</x:v>
      </x:c>
      <x:c r="G27" s="22" t="n">
        <x:v>6.5</x:v>
      </x:c>
      <x:c r="H27" s="11" t="str">
        <x:v>Three spray modes: Full Coverage, Cloud Spray, Deep Massage | Katalyst air-induction technology for large water drops | Intuitive push-button spray mode selection</x:v>
      </x:c>
      <x:c r="I27" s="7" t="str">
        <x:v>data/products.json</x:v>
      </x:c>
      <x:c r="J27" s="8" t="str">
        <x:v>Unverified — project catalog only</x:v>
      </x:c>
    </x:row>
    <x:row r="28" ht="24" customHeight="1">
      <x:c r="A28" s="7" t="str">
        <x:v>showers</x:v>
      </x:c>
      <x:c r="B28" s="7" t="str">
        <x:v>K-965-AK-CP</x:v>
      </x:c>
      <x:c r="C28" s="7" t="str">
        <x:v>Purist Single-Function Katalyst Showerhead</x:v>
      </x:c>
      <x:c r="D28" s="21" t="n">
        <x:v>120</x:v>
      </x:c>
      <x:c r="E28" s="7" t="str">
        <x:v>2.5 GPM</x:v>
      </x:c>
      <x:c r="F28" s="22" t="n">
        <x:v>5.5</x:v>
      </x:c>
      <x:c r="G28" s="22" t="n">
        <x:v>5.5</x:v>
      </x:c>
      <x:c r="H28" s="11" t="str">
        <x:v>Clean geometric lines from the Purist collection | Katalyst air-induction spray delivers drenching flow | MasterClean sprayface nozzles prevent mineral buildup</x:v>
      </x:c>
      <x:c r="I28" s="7" t="str">
        <x:v>data/products.json</x:v>
      </x:c>
      <x:c r="J28" s="8" t="str">
        <x:v>Unverified — project catalog only</x:v>
      </x:c>
    </x:row>
    <x:row r="29" ht="24" customHeight="1">
      <x:c r="A29" s="7" t="str">
        <x:v>showers</x:v>
      </x:c>
      <x:c r="B29" s="7" t="str">
        <x:v>K-72773-2MB</x:v>
      </x:c>
      <x:c r="C29" s="7" t="str">
        <x:v>Artifacts Single-Function Heritage Showerhead</x:v>
      </x:c>
      <x:c r="D29" s="21" t="n">
        <x:v>165</x:v>
      </x:c>
      <x:c r="E29" s="7" t="str">
        <x:v>2.5 GPM</x:v>
      </x:c>
      <x:c r="F29" s="22" t="n">
        <x:v>6</x:v>
      </x:c>
      <x:c r="G29" s="22" t="n">
        <x:v>6</x:v>
      </x:c>
      <x:c r="H29" s="11" t="str">
        <x:v>Turn-of-the-century heritage Victorian design | Katalyst air-induction technology for voluptuous spray | Solid brass construction with tarnish-resistant finish</x:v>
      </x:c>
      <x:c r="I29" s="7" t="str">
        <x:v>data/products.json</x:v>
      </x:c>
      <x:c r="J29" s="8" t="str">
        <x:v>Unverified — project catalog only</x:v>
      </x:c>
    </x:row>
    <x:row r="30" ht="24" customHeight="1">
      <x:c r="A30" s="7" t="str">
        <x:v>showers</x:v>
      </x:c>
      <x:c r="B30" s="7" t="str">
        <x:v>K-13688-CP</x:v>
      </x:c>
      <x:c r="C30" s="7" t="str">
        <x:v>Contemporary 8-Inch Round Rainhead</x:v>
      </x:c>
      <x:c r="D30" s="21" t="n">
        <x:v>320</x:v>
      </x:c>
      <x:c r="E30" s="7" t="str">
        <x:v>2.5 GPM</x:v>
      </x:c>
      <x:c r="F30" s="22" t="n">
        <x:v>8</x:v>
      </x:c>
      <x:c r="G30" s="22" t="n">
        <x:v>8</x:v>
      </x:c>
      <x:c r="H30" s="11" t="str">
        <x:v>Low-profile thin-edge circular rainhead profile | Katalyst air-induction delivers immersive drenching rain | Auto-draining sprayface minimizes post-shower dripping</x:v>
      </x:c>
      <x:c r="I30" s="7" t="str">
        <x:v>data/products.json</x:v>
      </x:c>
      <x:c r="J30" s="8" t="str">
        <x:v>Unverified — project catalog only</x:v>
      </x:c>
    </x:row>
    <x:row r="31" ht="24" customHeight="1">
      <x:c r="A31" s="7" t="str">
        <x:v>showers</x:v>
      </x:c>
      <x:c r="B31" s="7" t="str">
        <x:v>K-76465-CP</x:v>
      </x:c>
      <x:c r="C31" s="7" t="str">
        <x:v>Awaken Multi-Function Spray Showerhead</x:v>
      </x:c>
      <x:c r="D31" s="21" t="n">
        <x:v>65</x:v>
      </x:c>
      <x:c r="E31" s="7" t="str">
        <x:v>2.0 GPM</x:v>
      </x:c>
      <x:c r="F31" s="22" t="n">
        <x:v>4.5</x:v>
      </x:c>
      <x:c r="G31" s="22" t="n">
        <x:v>4.5</x:v>
      </x:c>
      <x:c r="H31" s="11" t="str">
        <x:v>Three spray experiences: Wide Coverage, Intense Drenching, Targeted | Ergonomic design for effortless mode switching | WaterSense certified efficient water delivery</x:v>
      </x:c>
      <x:c r="I31" s="7" t="str">
        <x:v>data/products.json</x:v>
      </x:c>
      <x:c r="J31" s="8" t="str">
        <x:v>Unverified — project catalog only</x:v>
      </x:c>
    </x:row>
    <x:row r="32" ht="24" customHeight="1">
      <x:c r="A32" s="7" t="str">
        <x:v>showers</x:v>
      </x:c>
      <x:c r="B32" s="7" t="str">
        <x:v>K-22169-BN</x:v>
      </x:c>
      <x:c r="C32" s="7" t="str">
        <x:v>Statement 12-Inch Barrel Rain Canopy</x:v>
      </x:c>
      <x:c r="D32" s="21" t="n">
        <x:v>490</x:v>
      </x:c>
      <x:c r="E32" s="7" t="str">
        <x:v>2.5 GPM</x:v>
      </x:c>
      <x:c r="F32" s="22" t="n">
        <x:v>12</x:v>
      </x:c>
      <x:c r="G32" s="22" t="n">
        <x:v>12</x:v>
      </x:c>
      <x:c r="H32" s="11" t="str">
        <x:v>Expansive 12-inch wide rain canopy coverage | Air-infused water droplets for luxurious soaking shower | Solid forged brass construction with architectural rim detail</x:v>
      </x:c>
      <x:c r="I32" s="7" t="str">
        <x:v>data/products.json</x:v>
      </x:c>
      <x:c r="J32" s="8" t="str">
        <x:v>Unverified — project catalog only</x:v>
      </x:c>
    </x:row>
    <x:row r="33" ht="24" customHeight="1">
      <x:c r="A33" s="7" t="str">
        <x:v>showers</x:v>
      </x:c>
      <x:c r="B33" s="7" t="str">
        <x:v>K-15996-BL</x:v>
      </x:c>
      <x:c r="C33" s="7" t="str">
        <x:v>Shift Ellipse Multi-Function Handshower</x:v>
      </x:c>
      <x:c r="D33" s="21" t="n">
        <x:v>140</x:v>
      </x:c>
      <x:c r="E33" s="7" t="str">
        <x:v>2.5 GPM</x:v>
      </x:c>
      <x:c r="F33" s="22" t="n">
        <x:v>2</x:v>
      </x:c>
      <x:c r="G33" s="22" t="n">
        <x:v>9.5</x:v>
      </x:c>
      <x:c r="H33" s="11" t="str">
        <x:v>Sleek elliptical wand design for ergonomic comfort | Dual spray functions: full coverage and targeted massage | MasterClean sprayface resists hard water buildup</x:v>
      </x:c>
      <x:c r="I33" s="7" t="str">
        <x:v>data/products.json</x:v>
      </x:c>
      <x:c r="J33" s="8" t="str">
        <x:v>Unverified — project catalog only</x:v>
      </x:c>
    </x:row>
    <x:row r="34" ht="24" customHeight="1">
      <x:c r="A34" s="7" t="str">
        <x:v>showers</x:v>
      </x:c>
      <x:c r="B34" s="7" t="str">
        <x:v>K-22170-CP</x:v>
      </x:c>
      <x:c r="C34" s="7" t="str">
        <x:v>Purist Three-Function Multi-Flow Showerhead</x:v>
      </x:c>
      <x:c r="D34" s="21" t="n">
        <x:v>140</x:v>
      </x:c>
      <x:c r="E34" s="7" t="str">
        <x:v>2.5 GPM</x:v>
      </x:c>
      <x:c r="F34" s="22" t="n">
        <x:v>5.5</x:v>
      </x:c>
      <x:c r="G34" s="22" t="n">
        <x:v>5.5</x:v>
      </x:c>
      <x:c r="H34" s="11" t="str">
        <x:v>Three distinct spray functions: full coverage, pulsating massage, silk spray | Katalyst air-induction technology for fuller, warmer water drops | MasterClean sprayface nozzles resist mineral buildup for easy maintenance</x:v>
      </x:c>
      <x:c r="I34" s="7" t="str">
        <x:v>data/products.json</x:v>
      </x:c>
      <x:c r="J34" s="8" t="str">
        <x:v>Unverified — project catalog only</x:v>
      </x:c>
    </x:row>
    <x:row r="35" ht="24" customHeight="1">
      <x:c r="A35" s="7" t="str">
        <x:v>showers</x:v>
      </x:c>
      <x:c r="B35" s="7" t="str">
        <x:v>34050IN-CP</x:v>
      </x:c>
      <x:c r="C35" s="7" t="str">
        <x:v>APT Square Single-Function Rain Showerhead</x:v>
      </x:c>
      <x:c r="D35" s="21" t="n">
        <x:v>40</x:v>
      </x:c>
      <x:c r="E35" s="7" t="str">
        <x:v>2.5 GPM</x:v>
      </x:c>
      <x:c r="F35" s="22" t="n">
        <x:v>6</x:v>
      </x:c>
      <x:c r="G35" s="22" t="n">
        <x:v>6</x:v>
      </x:c>
      <x:c r="H35" s="11" t="str">
        <x:v>Architectural square silhouette with 102 high-impact spray nozzles | Full-coverage soothing spray pattern built for longevity | Durable brass construction with corrosion-resistant finish</x:v>
      </x:c>
      <x:c r="I35" s="7" t="str">
        <x:v>data/products.json</x:v>
      </x:c>
      <x:c r="J35" s="8" t="str">
        <x:v>Unverified — project catalog only</x:v>
      </x:c>
    </x:row>
    <x:row r="36" ht="24" customHeight="1">
      <x:c r="A36" s="7" t="str">
        <x:v>vanities</x:v>
      </x:c>
      <x:c r="B36" s="7" t="str">
        <x:v>K-99522-1WA</x:v>
      </x:c>
      <x:c r="C36" s="7" t="str">
        <x:v>Damask 30-Inch Single Bathroom Vanity</x:v>
      </x:c>
      <x:c r="D36" s="21" t="n">
        <x:v>850</x:v>
      </x:c>
      <x:c r="E36" s="7" t="str"/>
      <x:c r="F36" s="22" t="n">
        <x:v>30</x:v>
      </x:c>
      <x:c r="G36" s="22" t="n">
        <x:v>21.8</x:v>
      </x:c>
      <x:c r="H36" s="11" t="str">
        <x:v>Inspired by traditional French quarter-sawn woodwork | Slow-close drawers with full-extension glides | Catalyzed conversion varnish resists bathroom humidity</x:v>
      </x:c>
      <x:c r="I36" s="7" t="str">
        <x:v>data/products.json</x:v>
      </x:c>
      <x:c r="J36" s="8" t="str">
        <x:v>Unverified — project catalog only</x:v>
      </x:c>
    </x:row>
    <x:row r="37" ht="24" customHeight="1">
      <x:c r="A37" s="7" t="str">
        <x:v>vanities</x:v>
      </x:c>
      <x:c r="B37" s="7" t="str">
        <x:v>K-99505-1WA</x:v>
      </x:c>
      <x:c r="C37" s="7" t="str">
        <x:v>Jacquard 36-Inch Single Bathroom Vanity</x:v>
      </x:c>
      <x:c r="D37" s="21" t="n">
        <x:v>1100</x:v>
      </x:c>
      <x:c r="E37" s="7" t="str"/>
      <x:c r="F37" s="22" t="n">
        <x:v>36</x:v>
      </x:c>
      <x:c r="G37" s="22" t="n">
        <x:v>21.8</x:v>
      </x:c>
      <x:c r="H37" s="11" t="str">
        <x:v>Traditional panel door detailing with brushed metal hardware | Adjustable internal shelves and door organizing splitters | Solid wood frame with moisture-resistant finish</x:v>
      </x:c>
      <x:c r="I37" s="7" t="str">
        <x:v>data/products.json</x:v>
      </x:c>
      <x:c r="J37" s="8" t="str">
        <x:v>Unverified — project catalog only</x:v>
      </x:c>
    </x:row>
    <x:row r="38" ht="24" customHeight="1">
      <x:c r="A38" s="7" t="str">
        <x:v>vanities</x:v>
      </x:c>
      <x:c r="B38" s="7" t="str">
        <x:v>K-99513-1WA</x:v>
      </x:c>
      <x:c r="C38" s="7" t="str">
        <x:v>Poplin 24-Inch Compact Bathroom Vanity</x:v>
      </x:c>
      <x:c r="D38" s="21" t="n">
        <x:v>650</x:v>
      </x:c>
      <x:c r="E38" s="7" t="str"/>
      <x:c r="F38" s="22" t="n">
        <x:v>24</x:v>
      </x:c>
      <x:c r="G38" s="22" t="n">
        <x:v>21.8</x:v>
      </x:c>
      <x:c r="H38" s="11" t="str">
        <x:v>Clean Shaker-inspired geometric lines | Compact footprint optimized for powder rooms and small baths | Integrated soft-close hinges and full-extension drawer</x:v>
      </x:c>
      <x:c r="I38" s="7" t="str">
        <x:v>data/products.json</x:v>
      </x:c>
      <x:c r="J38" s="8" t="str">
        <x:v>Unverified — project catalog only</x:v>
      </x:c>
    </x:row>
    <x:row r="39" ht="24" customHeight="1">
      <x:c r="A39" s="7" t="str">
        <x:v>vanities</x:v>
      </x:c>
      <x:c r="B39" s="7" t="str">
        <x:v>K-99557-SD</x:v>
      </x:c>
      <x:c r="C39" s="7" t="str">
        <x:v>Marabou 48-Inch Single Bathroom Vanity</x:v>
      </x:c>
      <x:c r="D39" s="21" t="n">
        <x:v>1450</x:v>
      </x:c>
      <x:c r="E39" s="7" t="str"/>
      <x:c r="F39" s="22" t="n">
        <x:v>48</x:v>
      </x:c>
      <x:c r="G39" s="22" t="n">
        <x:v>21.8</x:v>
      </x:c>
      <x:c r="H39" s="11" t="str">
        <x:v>Mid-century modern aesthetic with warm wood grain finish | Ample counter space with dual side storage drawers | Durable catalyzed finish resists moisture and stains</x:v>
      </x:c>
      <x:c r="I39" s="7" t="str">
        <x:v>data/products.json</x:v>
      </x:c>
      <x:c r="J39" s="8" t="str">
        <x:v>Unverified — project catalog only</x:v>
      </x:c>
    </x:row>
    <x:row r="40" ht="24" customHeight="1">
      <x:c r="A40" s="7" t="str">
        <x:v>vanities</x:v>
      </x:c>
      <x:c r="B40" s="7" t="str">
        <x:v>K-99541-R</x:v>
      </x:c>
      <x:c r="C40" s="7" t="str">
        <x:v>Jute 30-Inch Wall-Mount Floating Vanity</x:v>
      </x:c>
      <x:c r="D40" s="21" t="n">
        <x:v>980</x:v>
      </x:c>
      <x:c r="E40" s="7" t="str"/>
      <x:c r="F40" s="22" t="n">
        <x:v>30</x:v>
      </x:c>
      <x:c r="G40" s="22" t="n">
        <x:v>21.8</x:v>
      </x:c>
      <x:c r="H40" s="11" t="str">
        <x:v>Wall-hung floating mounting creates open floor perception | Natural wood grain texture inspired by organic Japanese design | Includes soft-close pull-out lap drawer and storage base</x:v>
      </x:c>
      <x:c r="I40" s="7" t="str">
        <x:v>data/products.json</x:v>
      </x:c>
      <x:c r="J40" s="8" t="str">
        <x:v>Unverified — project catalog only</x:v>
      </x:c>
    </x:row>
    <x:row r="41" ht="24" customHeight="1">
      <x:c r="A41" s="7" t="str">
        <x:v>vanities</x:v>
      </x:c>
      <x:c r="B41" s="7" t="str">
        <x:v>K-29263-BD1-DWG</x:v>
      </x:c>
      <x:c r="C41" s="7" t="str">
        <x:v>Charlemont 60 Bathroom Vanity Cabinet</x:v>
      </x:c>
      <x:c r="D41" s="21" t="n">
        <x:v>2200</x:v>
      </x:c>
      <x:c r="E41" s="7" t="str"/>
      <x:c r="F41" s="22" t="n">
        <x:v>60</x:v>
      </x:c>
      <x:c r="G41" s="22" t="n">
        <x:v>21.8</x:v>
      </x:c>
      <x:c r="H41" s="11" t="str">
        <x:v>Double basin layout designed for master bathroom suites | Dual soft-close doors and four central extension drawers | Solid hardwood frame with moisture-proof protective seal</x:v>
      </x:c>
      <x:c r="I41" s="7" t="str">
        <x:v>data/products.json</x:v>
      </x:c>
      <x:c r="J41" s="8" t="str">
        <x:v>Unverified — project catalog only</x:v>
      </x:c>
    </x:row>
    <x:row r="42" ht="24" customHeight="1">
      <x:c r="A42" s="7" t="str">
        <x:v>vanities</x:v>
      </x:c>
      <x:c r="B42" s="7" t="str">
        <x:v>K-33545-ASB</x:v>
      </x:c>
      <x:c r="C42" s="7" t="str">
        <x:v>Southerk 36-Inch Vanity with Quartz Top</x:v>
      </x:c>
      <x:c r="D42" s="21" t="n">
        <x:v>1250</x:v>
      </x:c>
      <x:c r="E42" s="7" t="str"/>
      <x:c r="F42" s="22" t="n">
        <x:v>36</x:v>
      </x:c>
      <x:c r="G42" s="22" t="n">
        <x:v>22</x:v>
      </x:c>
      <x:c r="H42" s="11" t="str">
        <x:v>Matte black metal frame with open slatted lower storage shelf | Pre-attached engineered quartz countertop and undermount sink | Industrial-inspired hardware and architectural metal trim</x:v>
      </x:c>
      <x:c r="I42" s="7" t="str">
        <x:v>data/products.json</x:v>
      </x:c>
      <x:c r="J42" s="8" t="str">
        <x:v>Unverified — project catalog only</x:v>
      </x:c>
    </x:row>
    <x:row r="43" ht="24" customHeight="1">
      <x:c r="A43" s="7" t="str">
        <x:v>vanities</x:v>
      </x:c>
      <x:c r="B43" s="7" t="str">
        <x:v>K-40640-BD1-WEK</x:v>
      </x:c>
      <x:c r="C43" s="7" t="str">
        <x:v>Kresla 48-Inch Freestanding Vanity</x:v>
      </x:c>
      <x:c r="D43" s="21" t="n">
        <x:v>1680</x:v>
      </x:c>
      <x:c r="E43" s="7" t="str"/>
      <x:c r="F43" s="22" t="n">
        <x:v>48</x:v>
      </x:c>
      <x:c r="G43" s="22" t="n">
        <x:v>22</x:v>
      </x:c>
      <x:c r="H43" s="11" t="str">
        <x:v>Rustic industrial aesthetic with distressed wood finish | Includes vitreous china countertop and matching backsplash | Dual doors with interior electrical outlet and styling tool organizer</x:v>
      </x:c>
      <x:c r="I43" s="7" t="str">
        <x:v>data/products.json</x:v>
      </x:c>
      <x:c r="J43" s="8" t="str">
        <x:v>Unverified — project catalog only</x:v>
      </x:c>
    </x:row>
    <x:row r="44" ht="24" customHeight="1">
      <x:c r="A44" s="7" t="str">
        <x:v>vanities</x:v>
      </x:c>
      <x:c r="B44" s="7" t="str">
        <x:v>K-CM99539-BD1-1WM</x:v>
      </x:c>
      <x:c r="C44" s="7" t="str">
        <x:v>Tailored 24-Inch Wall-Mount Floating Vanity</x:v>
      </x:c>
      <x:c r="D44" s="21" t="n">
        <x:v>720</x:v>
      </x:c>
      <x:c r="E44" s="7" t="str"/>
      <x:c r="F44" s="22" t="n">
        <x:v>24</x:v>
      </x:c>
      <x:c r="G44" s="22" t="n">
        <x:v>21.8</x:v>
      </x:c>
      <x:c r="H44" s="11" t="str">
        <x:v>Sleek wall-mounted design maximizes open floor space | Minimalist handle-free push-to-open drawer system | Eco-friendly natural oak veneer with clear protective coat</x:v>
      </x:c>
      <x:c r="I44" s="7" t="str">
        <x:v>data/products.json</x:v>
      </x:c>
      <x:c r="J44" s="8" t="str">
        <x:v>Unverified — project catalog only</x:v>
      </x:c>
    </x:row>
    <x:row r="45" ht="24" customHeight="1">
      <x:c r="A45" s="7" t="str">
        <x:v>vanities</x:v>
      </x:c>
      <x:c r="B45" s="7" t="str">
        <x:v>K-39607-ASB-0</x:v>
      </x:c>
      <x:c r="C45" s="7" t="str">
        <x:v>Haddon 60-Inch Double Vanity with Marble Top</x:v>
      </x:c>
      <x:c r="D45" s="21" t="n">
        <x:v>2650</x:v>
      </x:c>
      <x:c r="E45" s="7" t="str"/>
      <x:c r="F45" s="22" t="n">
        <x:v>60</x:v>
      </x:c>
      <x:c r="G45" s="22" t="n">
        <x:v>22</x:v>
      </x:c>
      <x:c r="H45" s="11" t="str">
        <x:v>Carrara marble countertop with dual undermount ceramic sinks | Eight full-extension drawers plus two spacious center cabinets | Hand-finished multi-step lacquer coating for lasting luxury</x:v>
      </x:c>
      <x:c r="I45" s="7" t="str">
        <x:v>data/products.json</x:v>
      </x:c>
      <x:c r="J45" s="8" t="str">
        <x:v>Unverified — project catalog only</x:v>
      </x:c>
    </x:row>
    <x:row r="46" ht="24" customHeight="1">
      <x:c r="A46" s="7" t="str">
        <x:v>bathtubs</x:v>
      </x:c>
      <x:c r="B46" s="7" t="str">
        <x:v>K-1130-0</x:v>
      </x:c>
      <x:c r="C46" s="7" t="str">
        <x:v>Underscore 60 x 32 Drop-In Soaking Bathtub</x:v>
      </x:c>
      <x:c r="D46" s="21" t="n">
        <x:v>1050</x:v>
      </x:c>
      <x:c r="E46" s="7" t="str"/>
      <x:c r="F46" s="22" t="n">
        <x:v>60</x:v>
      </x:c>
      <x:c r="G46" s="22" t="n">
        <x:v>32</x:v>
      </x:c>
      <x:c r="H46" s="11" t="str">
        <x:v>Slotted overflow for deep soaking depth | Integral ergonomic lumbar support | Clean, crisp rectangular drop-in or alcove installation</x:v>
      </x:c>
      <x:c r="I46" s="7" t="str">
        <x:v>data/products.json</x:v>
      </x:c>
      <x:c r="J46" s="8" t="str">
        <x:v>Unverified — project catalog only</x:v>
      </x:c>
    </x:row>
    <x:row r="47" ht="24" customHeight="1">
      <x:c r="A47" s="7" t="str">
        <x:v>bathtubs</x:v>
      </x:c>
      <x:c r="B47" s="7" t="str">
        <x:v>K-6367-0</x:v>
      </x:c>
      <x:c r="C47" s="7" t="str">
        <x:v>Stargaze 72 x 36 Freestanding Fluted Bathtub</x:v>
      </x:c>
      <x:c r="D47" s="21" t="n">
        <x:v>3180</x:v>
      </x:c>
      <x:c r="E47" s="7" t="str"/>
      <x:c r="F47" s="22" t="n">
        <x:v>72</x:v>
      </x:c>
      <x:c r="G47" s="22" t="n">
        <x:v>36</x:v>
      </x:c>
      <x:c r="H47" s="11" t="str">
        <x:v>Freestanding focal point with elegant fluted shroud | Dual-ended sloped lumbar support for two bathers | Generous 17-inch deep bathing basin</x:v>
      </x:c>
      <x:c r="I47" s="7" t="str">
        <x:v>data/products.json</x:v>
      </x:c>
      <x:c r="J47" s="8" t="str">
        <x:v>Unverified — project catalog only</x:v>
      </x:c>
    </x:row>
    <x:row r="48" ht="24" customHeight="1">
      <x:c r="A48" s="7" t="str">
        <x:v>bathtubs</x:v>
      </x:c>
      <x:c r="B48" s="7" t="str">
        <x:v>K-1123-LA-96</x:v>
      </x:c>
      <x:c r="C48" s="7" t="str">
        <x:v>Archer 60 x 32 Alcove Soaking Bathtub</x:v>
      </x:c>
      <x:c r="D48" s="21" t="n">
        <x:v>1135</x:v>
      </x:c>
      <x:c r="E48" s="7" t="str"/>
      <x:c r="F48" s="22" t="n">
        <x:v>60</x:v>
      </x:c>
      <x:c r="G48" s="22" t="n">
        <x:v>32</x:v>
      </x:c>
      <x:c r="H48" s="11" t="str">
        <x:v>Craftsman-inspired beveled edges and curved base | Low step-over height for easy accessibility | Integral apron and tile flange for alcove setup</x:v>
      </x:c>
      <x:c r="I48" s="7" t="str">
        <x:v>data/products.json</x:v>
      </x:c>
      <x:c r="J48" s="8" t="str">
        <x:v>Unverified — project catalog only</x:v>
      </x:c>
    </x:row>
    <x:row r="49" ht="24" customHeight="1">
      <x:c r="A49" s="7" t="str">
        <x:v>bathtubs</x:v>
      </x:c>
      <x:c r="B49" s="7" t="str">
        <x:v>K-8332-0</x:v>
      </x:c>
      <x:c r="C49" s="7" t="str">
        <x:v>Memoirs 60 x 34 Lithocast Freestanding Bathtub</x:v>
      </x:c>
      <x:c r="D49" s="21" t="n">
        <x:v>6060</x:v>
      </x:c>
      <x:c r="E49" s="7" t="str"/>
      <x:c r="F49" s="22" t="n">
        <x:v>60</x:v>
      </x:c>
      <x:c r="G49" s="22" t="n">
        <x:v>34</x:v>
      </x:c>
      <x:c r="H49" s="11" t="str">
        <x:v>Architectural crown molding detailing on outer rim | Solid stone-look Lithocast Gloss cast resin construction | Slotted overflow allows maximum water depth</x:v>
      </x:c>
      <x:c r="I49" s="7" t="str">
        <x:v>data/products.json</x:v>
      </x:c>
      <x:c r="J49" s="8" t="str">
        <x:v>Unverified — project catalog only</x:v>
      </x:c>
    </x:row>
    <x:row r="50" ht="24" customHeight="1">
      <x:c r="A50" s="7" t="str">
        <x:v>bathtubs</x:v>
      </x:c>
      <x:c r="B50" s="7" t="str">
        <x:v>K-24002-W1-0</x:v>
      </x:c>
      <x:c r="C50" s="7" t="str">
        <x:v>Sunstruck 60 x 34 Oval Freestanding Bathtub</x:v>
      </x:c>
      <x:c r="D50" s="21" t="n">
        <x:v>2850</x:v>
      </x:c>
      <x:c r="E50" s="7" t="str"/>
      <x:c r="F50" s="22" t="n">
        <x:v>66</x:v>
      </x:c>
      <x:c r="G50" s="22" t="n">
        <x:v>34</x:v>
      </x:c>
      <x:c r="H50" s="11" t="str">
        <x:v>Fluid organic oval silhouette for tranquil spaces | Seamless one-piece freestanding acrylic shell | Center toe-tap drain with integrated overflow</x:v>
      </x:c>
      <x:c r="I50" s="7" t="str">
        <x:v>data/products.json</x:v>
      </x:c>
      <x:c r="J50" s="8" t="str">
        <x:v>Unverified — project catalog only</x:v>
      </x:c>
    </x:row>
    <x:row r="51" ht="24" customHeight="1">
      <x:c r="A51" s="7" t="str">
        <x:v>bathtubs</x:v>
      </x:c>
      <x:c r="B51" s="7" t="str">
        <x:v>K-20201-LA-0</x:v>
      </x:c>
      <x:c r="C51" s="7" t="str">
        <x:v>Underscore 60 x 30 Alcove Soaking Bathtub</x:v>
      </x:c>
      <x:c r="D51" s="21" t="n">
        <x:v>1080</x:v>
      </x:c>
      <x:c r="E51" s="7" t="str"/>
      <x:c r="F51" s="22" t="n">
        <x:v>60</x:v>
      </x:c>
      <x:c r="G51" s="22" t="n">
        <x:v>30</x:v>
      </x:c>
      <x:c r="H51" s="11" t="str">
        <x:v>Narrow 30-inch depth suited for compact modern alcoves | Integral tile flange prevents wall water seepage | Textured bottom surface for added underfoot traction</x:v>
      </x:c>
      <x:c r="I51" s="7" t="str">
        <x:v>data/products.json</x:v>
      </x:c>
      <x:c r="J51" s="8" t="str">
        <x:v>Unverified — project catalog only</x:v>
      </x:c>
    </x:row>
    <x:row r="52" ht="24" customHeight="1">
      <x:c r="A52" s="7" t="str">
        <x:v>bathtubs</x:v>
      </x:c>
      <x:c r="B52" s="7" t="str">
        <x:v>K-722-0</x:v>
      </x:c>
      <x:c r="C52" s="7" t="str">
        <x:v>Memoirs 60 x 34 Cast Iron Alcove Bathtub</x:v>
      </x:c>
      <x:c r="D52" s="21" t="n">
        <x:v>2300</x:v>
      </x:c>
      <x:c r="E52" s="7" t="str"/>
      <x:c r="F52" s="22" t="n">
        <x:v>60</x:v>
      </x:c>
      <x:c r="G52" s="22" t="n">
        <x:v>34</x:v>
      </x:c>
      <x:c r="H52" s="11" t="str">
        <x:v>Ultra-durable KOHLER enameled cast iron retains heat | Safeguard slip-resistant surface finish | Classic architectural apron with molded trim</x:v>
      </x:c>
      <x:c r="I52" s="7" t="str">
        <x:v>data/products.json</x:v>
      </x:c>
      <x:c r="J52" s="8" t="str">
        <x:v>Unverified — project catalog only</x:v>
      </x:c>
    </x:row>
    <x:row r="53" ht="24" customHeight="1">
      <x:c r="A53" s="7" t="str">
        <x:v>bathtubs</x:v>
      </x:c>
      <x:c r="B53" s="7" t="str">
        <x:v>K-25831-0</x:v>
      </x:c>
      <x:c r="C53" s="7" t="str">
        <x:v>Avec 60 x 32 Bathtub</x:v>
      </x:c>
      <x:c r="D53" s="21" t="n">
        <x:v>800</x:v>
      </x:c>
      <x:c r="E53" s="7" t="str"/>
      <x:c r="F53" s="22" t="n">
        <x:v>60</x:v>
      </x:c>
      <x:c r="G53" s="22" t="n">
        <x:v>32</x:v>
      </x:c>
      <x:c r="H53" s="11" t="str">
        <x:v>Extra-deep basin design inspired by Japanese Ofuro tubs | Integrated seating ledge for relaxed upright immersion | Space-efficient footprint for meditative zen retreats</x:v>
      </x:c>
      <x:c r="I53" s="7" t="str">
        <x:v>data/products.json</x:v>
      </x:c>
      <x:c r="J53" s="8" t="str">
        <x:v>Unverified — project catalog only</x:v>
      </x:c>
    </x:row>
    <x:row r="54" ht="24" customHeight="1">
      <x:c r="A54" s="7" t="str">
        <x:v>bathtubs</x:v>
      </x:c>
      <x:c r="B54" s="7" t="str">
        <x:v>K-710-P5-0</x:v>
      </x:c>
      <x:c r="C54" s="7" t="str">
        <x:v>Iron Works 66 x 36 Clawfoot Cast Iron Bathtub</x:v>
      </x:c>
      <x:c r="D54" s="21" t="n">
        <x:v>4350</x:v>
      </x:c>
      <x:c r="E54" s="7" t="str"/>
      <x:c r="F54" s="22" t="n">
        <x:v>66</x:v>
      </x:c>
      <x:c r="G54" s="22" t="n">
        <x:v>36</x:v>
      </x:c>
      <x:c r="H54" s="11" t="str">
        <x:v>Vintage clawfoot profile with exposed cast iron exterior | Heavy-duty enameled cast iron interior basin | Extravagant deep soaking capacity</x:v>
      </x:c>
      <x:c r="I54" s="7" t="str">
        <x:v>data/products.json</x:v>
      </x:c>
      <x:c r="J54" s="8" t="str">
        <x:v>Unverified — project catalog only</x:v>
      </x:c>
    </x:row>
    <x:row r="55" ht="24" customHeight="1">
      <x:c r="A55" s="7" t="str">
        <x:v>bathtubs</x:v>
      </x:c>
      <x:c r="B55" s="7" t="str">
        <x:v>K-1800-0</x:v>
      </x:c>
      <x:c r="C55" s="7" t="str">
        <x:v>Abrazo 66 x 31 Lithocast Freestanding Bathtub</x:v>
      </x:c>
      <x:c r="D55" s="21" t="n">
        <x:v>4200</x:v>
      </x:c>
      <x:c r="E55" s="7" t="str"/>
      <x:c r="F55" s="22" t="n">
        <x:v>66</x:v>
      </x:c>
      <x:c r="G55" s="22" t="n">
        <x:v>31</x:v>
      </x:c>
      <x:c r="H55" s="11" t="str">
        <x:v>Unique organic egg-shaped modern silhouette | Matte Lithocast solid surface material feels smooth like stone | Center drain with matching matte Lithocast drain cover</x:v>
      </x:c>
      <x:c r="I55" s="7" t="str">
        <x:v>data/products.json</x:v>
      </x:c>
      <x:c r="J55" s="8" t="str">
        <x:v>Unverified — project catalog only</x:v>
      </x:c>
    </x:row>
  </x:sheetData>
  <x:pageMargins left="0.7" right="0.7" top="0.75" bottom="0.75" header="0.3" footer="0.3"/>
  <x:tableParts count="1">
    <x:tablePart xmlns:r="http://schemas.openxmlformats.org/officeDocument/2006/relationships" r:id="Rb78af9e863ec434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30" hidden="0" customWidth="1"/>
    <x:col min="6" max="6" width="42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3" hidden="0" customWidth="1"/>
    <x:col min="17" max="17" width="22" hidden="0" customWidth="1"/>
    <x:col min="18" max="18" width="22" hidden="0" customWidth="1"/>
    <x:col min="19" max="19" width="45" hidden="0" customWidth="1"/>
    <x:col min="20" max="20" width="42" hidden="0" customWidth="1"/>
    <x:col min="21" max="21" width="5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Product Sustainability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 t="str">
        <x:v>Fill only from primary or authoritative sources. Preserve exact model/finish variants and record a URL plus verification date for every claim.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5" ht="34" customHeight="1">
      <x:c r="A5" s="6" t="str">
        <x:v>App model ID</x:v>
      </x:c>
      <x:c r="B5" s="6" t="str">
        <x:v>App product name</x:v>
      </x:c>
      <x:c r="C5" s="6" t="str">
        <x:v>Category</x:v>
      </x:c>
      <x:c r="D5" s="6" t="str">
        <x:v>Model verified?</x:v>
      </x:c>
      <x:c r="E5" s="6" t="str">
        <x:v>Verified Kohler model / variant</x:v>
      </x:c>
      <x:c r="F5" s="6" t="str">
        <x:v>Official Kohler product URL</x:v>
      </x:c>
      <x:c r="G5" s="6" t="str">
        <x:v>Verified date</x:v>
      </x:c>
      <x:c r="H5" s="6" t="str">
        <x:v>Verified flow (GPM)</x:v>
      </x:c>
      <x:c r="I5" s="6" t="str">
        <x:v>Verified effective flush (GPF)</x:v>
      </x:c>
      <x:c r="J5" s="6" t="str">
        <x:v>WaterSense status</x:v>
      </x:c>
      <x:c r="K5" s="6" t="str">
        <x:v>EPA matched model</x:v>
      </x:c>
      <x:c r="L5" s="6" t="str">
        <x:v>EPA source URL</x:v>
      </x:c>
      <x:c r="M5" s="6" t="str">
        <x:v>EPA checked date</x:v>
      </x:c>
      <x:c r="N5" s="6" t="str">
        <x:v>EPD status</x:v>
      </x:c>
      <x:c r="O5" s="6" t="str">
        <x:v>EPD URL / declaration ID</x:v>
      </x:c>
      <x:c r="P5" s="6" t="str">
        <x:v>EPD declared unit</x:v>
      </x:c>
      <x:c r="Q5" s="6" t="str">
        <x:v>EPD GWP (kg CO2e/unit)</x:v>
      </x:c>
      <x:c r="R5" s="6" t="str">
        <x:v>Recycled content (%)</x:v>
      </x:c>
      <x:c r="S5" s="6" t="str">
        <x:v>Material / durability evidence</x:v>
      </x:c>
      <x:c r="T5" s="6" t="str">
        <x:v>Warranty / repair-parts source</x:v>
      </x:c>
      <x:c r="U5" s="6" t="str">
        <x:v>Reviewer notes</x:v>
      </x:c>
      <x:c r="V5" s="6" t="str">
        <x:v>Verified price (USD)</x:v>
      </x:c>
      <x:c r="W5" s="6" t="str">
        <x:v>Verified width (in)</x:v>
      </x:c>
      <x:c r="X5" s="6" t="str">
        <x:v>Verified depth (in)</x:v>
      </x:c>
    </x:row>
    <x:row r="6" ht="24" customHeight="1">
      <x:c r="A6" s="7" t="str">
        <x:v>K-14402-4A-BL</x:v>
      </x:c>
      <x:c r="B6" s="7" t="str">
        <x:v>Kohler Purist Single-Handle Bathroom Faucet</x:v>
      </x:c>
      <x:c r="C6" s="7" t="str">
        <x:v>faucets</x:v>
      </x:c>
      <x:c r="D6" s="8" t="str">
        <x:v>Not checked</x:v>
      </x:c>
      <x:c r="E6" s="8" t="str"/>
      <x:c r="F6" s="26" t="str"/>
      <x:c r="G6" s="23"/>
      <x:c r="H6" s="24"/>
      <x:c r="I6" s="24"/>
      <x:c r="J6" s="8" t="str">
        <x:v>Not checked</x:v>
      </x:c>
      <x:c r="K6" s="8" t="str"/>
      <x:c r="L6" s="8" t="str">
        <x:v>https://lookforwatersense.epa.gov/products/</x:v>
      </x:c>
      <x:c r="M6" s="23"/>
      <x:c r="N6" s="8" t="str">
        <x:v>Not checked</x:v>
      </x:c>
      <x:c r="O6" s="8" t="str"/>
      <x:c r="P6" s="8" t="str"/>
      <x:c r="Q6" s="24"/>
      <x:c r="R6" s="24"/>
      <x:c r="S6" s="8" t="str"/>
      <x:c r="T6" s="8" t="str"/>
      <x:c r="U6" s="8" t="str"/>
      <x:c r="V6" s="25"/>
      <x:c r="W6" s="24"/>
      <x:c r="X6" s="24"/>
    </x:row>
    <x:row r="7" ht="24" customHeight="1">
      <x:c r="A7" s="7" t="str">
        <x:v>K-73159IN-7-CP</x:v>
      </x:c>
      <x:c r="B7" s="7" t="str">
        <x:v>Kohler Composed Tall Single-Handle Vessel Faucet</x:v>
      </x:c>
      <x:c r="C7" s="7" t="str">
        <x:v>faucets</x:v>
      </x:c>
      <x:c r="D7" s="8" t="str">
        <x:v>Not checked</x:v>
      </x:c>
      <x:c r="E7" s="8" t="str"/>
      <x:c r="F7" s="26" t="str"/>
      <x:c r="G7" s="23"/>
      <x:c r="H7" s="24"/>
      <x:c r="I7" s="24"/>
      <x:c r="J7" s="8" t="str">
        <x:v>Not checked</x:v>
      </x:c>
      <x:c r="K7" s="8" t="str"/>
      <x:c r="L7" s="8" t="str">
        <x:v>https://lookforwatersense.epa.gov/products/</x:v>
      </x:c>
      <x:c r="M7" s="23"/>
      <x:c r="N7" s="8" t="str">
        <x:v>Not checked</x:v>
      </x:c>
      <x:c r="O7" s="8" t="str"/>
      <x:c r="P7" s="8" t="str"/>
      <x:c r="Q7" s="24"/>
      <x:c r="R7" s="24"/>
      <x:c r="S7" s="8" t="str"/>
      <x:c r="T7" s="8" t="str"/>
      <x:c r="U7" s="8" t="str"/>
      <x:c r="V7" s="25"/>
      <x:c r="W7" s="24"/>
      <x:c r="X7" s="24"/>
    </x:row>
    <x:row r="8" ht="24" customHeight="1">
      <x:c r="A8" s="7" t="str">
        <x:v>K-72759-BN</x:v>
      </x:c>
      <x:c r="B8" s="7" t="str">
        <x:v>Kohler Artifacts Widespread Bathroom Faucet</x:v>
      </x:c>
      <x:c r="C8" s="7" t="str">
        <x:v>faucets</x:v>
      </x:c>
      <x:c r="D8" s="8" t="str">
        <x:v>Not checked</x:v>
      </x:c>
      <x:c r="E8" s="8" t="str"/>
      <x:c r="F8" s="26" t="str"/>
      <x:c r="G8" s="23"/>
      <x:c r="H8" s="24"/>
      <x:c r="I8" s="24"/>
      <x:c r="J8" s="8" t="str">
        <x:v>Not checked</x:v>
      </x:c>
      <x:c r="K8" s="8" t="str"/>
      <x:c r="L8" s="8" t="str">
        <x:v>https://lookforwatersense.epa.gov/products/</x:v>
      </x:c>
      <x:c r="M8" s="23"/>
      <x:c r="N8" s="8" t="str">
        <x:v>Not checked</x:v>
      </x:c>
      <x:c r="O8" s="8" t="str"/>
      <x:c r="P8" s="8" t="str"/>
      <x:c r="Q8" s="24"/>
      <x:c r="R8" s="24"/>
      <x:c r="S8" s="8" t="str"/>
      <x:c r="T8" s="8" t="str"/>
      <x:c r="U8" s="8" t="str"/>
      <x:c r="V8" s="25"/>
      <x:c r="W8" s="24"/>
      <x:c r="X8" s="24"/>
    </x:row>
    <x:row r="9" ht="24" customHeight="1">
      <x:c r="A9" s="7" t="str">
        <x:v>K-23472IN-4-CP</x:v>
      </x:c>
      <x:c r="B9" s="7" t="str">
        <x:v>Kohler Parallel Single-Handle Bathroom Faucet</x:v>
      </x:c>
      <x:c r="C9" s="7" t="str">
        <x:v>faucets</x:v>
      </x:c>
      <x:c r="D9" s="8" t="str">
        <x:v>Not checked</x:v>
      </x:c>
      <x:c r="E9" s="8" t="str"/>
      <x:c r="F9" s="26" t="str"/>
      <x:c r="G9" s="23"/>
      <x:c r="H9" s="24"/>
      <x:c r="I9" s="24"/>
      <x:c r="J9" s="8" t="str">
        <x:v>Not checked</x:v>
      </x:c>
      <x:c r="K9" s="8" t="str"/>
      <x:c r="L9" s="8" t="str">
        <x:v>https://lookforwatersense.epa.gov/products/</x:v>
      </x:c>
      <x:c r="M9" s="23"/>
      <x:c r="N9" s="8" t="str">
        <x:v>Not checked</x:v>
      </x:c>
      <x:c r="O9" s="8" t="str"/>
      <x:c r="P9" s="8" t="str"/>
      <x:c r="Q9" s="24"/>
      <x:c r="R9" s="24"/>
      <x:c r="S9" s="8" t="str"/>
      <x:c r="T9" s="8" t="str"/>
      <x:c r="U9" s="8" t="str"/>
      <x:c r="V9" s="25"/>
      <x:c r="W9" s="24"/>
      <x:c r="X9" s="24"/>
    </x:row>
    <x:row r="10" ht="24" customHeight="1">
      <x:c r="A10" s="7" t="str">
        <x:v>K-27485IN-4-CP</x:v>
      </x:c>
      <x:c r="B10" s="7" t="str">
        <x:v>Kohler Fore Line Single-Handle Bathroom Faucet</x:v>
      </x:c>
      <x:c r="C10" s="7" t="str">
        <x:v>faucets</x:v>
      </x:c>
      <x:c r="D10" s="8" t="str">
        <x:v>Not checked</x:v>
      </x:c>
      <x:c r="E10" s="8" t="str"/>
      <x:c r="F10" s="26" t="str"/>
      <x:c r="G10" s="23"/>
      <x:c r="H10" s="24"/>
      <x:c r="I10" s="24"/>
      <x:c r="J10" s="8" t="str">
        <x:v>Not checked</x:v>
      </x:c>
      <x:c r="K10" s="8" t="str"/>
      <x:c r="L10" s="8" t="str">
        <x:v>https://lookforwatersense.epa.gov/products/</x:v>
      </x:c>
      <x:c r="M10" s="23"/>
      <x:c r="N10" s="8" t="str">
        <x:v>Not checked</x:v>
      </x:c>
      <x:c r="O10" s="8" t="str"/>
      <x:c r="P10" s="8" t="str"/>
      <x:c r="Q10" s="24"/>
      <x:c r="R10" s="24"/>
      <x:c r="S10" s="8" t="str"/>
      <x:c r="T10" s="8" t="str"/>
      <x:c r="U10" s="8" t="str"/>
      <x:c r="V10" s="25"/>
      <x:c r="W10" s="24"/>
      <x:c r="X10" s="24"/>
    </x:row>
    <x:row r="11" ht="24" customHeight="1">
      <x:c r="A11" s="7" t="str">
        <x:v>K-23967IN-4ND-CP</x:v>
      </x:c>
      <x:c r="B11" s="7" t="str">
        <x:v>Kohler Vive Tall Single-Handle Bathroom Faucet</x:v>
      </x:c>
      <x:c r="C11" s="7" t="str">
        <x:v>faucets</x:v>
      </x:c>
      <x:c r="D11" s="8" t="str">
        <x:v>Not checked</x:v>
      </x:c>
      <x:c r="E11" s="8" t="str"/>
      <x:c r="F11" s="26" t="str"/>
      <x:c r="G11" s="23"/>
      <x:c r="H11" s="24"/>
      <x:c r="I11" s="24"/>
      <x:c r="J11" s="8" t="str">
        <x:v>Not checked</x:v>
      </x:c>
      <x:c r="K11" s="8" t="str"/>
      <x:c r="L11" s="8" t="str">
        <x:v>https://lookforwatersense.epa.gov/products/</x:v>
      </x:c>
      <x:c r="M11" s="23"/>
      <x:c r="N11" s="8" t="str">
        <x:v>Not checked</x:v>
      </x:c>
      <x:c r="O11" s="8" t="str"/>
      <x:c r="P11" s="8" t="str"/>
      <x:c r="Q11" s="24"/>
      <x:c r="R11" s="24"/>
      <x:c r="S11" s="8" t="str"/>
      <x:c r="T11" s="8" t="str"/>
      <x:c r="U11" s="8" t="str"/>
      <x:c r="V11" s="25"/>
      <x:c r="W11" s="24"/>
      <x:c r="X11" s="24"/>
    </x:row>
    <x:row r="12" ht="24" customHeight="1">
      <x:c r="A12" s="7" t="str">
        <x:v>K-14660-4-CP</x:v>
      </x:c>
      <x:c r="B12" s="7" t="str">
        <x:v>Kohler Loure Single-Handle Bathroom Faucet</x:v>
      </x:c>
      <x:c r="C12" s="7" t="str">
        <x:v>faucets</x:v>
      </x:c>
      <x:c r="D12" s="8" t="str">
        <x:v>Not checked</x:v>
      </x:c>
      <x:c r="E12" s="8" t="str"/>
      <x:c r="F12" s="26" t="str"/>
      <x:c r="G12" s="23"/>
      <x:c r="H12" s="24"/>
      <x:c r="I12" s="24"/>
      <x:c r="J12" s="8" t="str">
        <x:v>Not checked</x:v>
      </x:c>
      <x:c r="K12" s="8" t="str"/>
      <x:c r="L12" s="8" t="str">
        <x:v>https://lookforwatersense.epa.gov/products/</x:v>
      </x:c>
      <x:c r="M12" s="23"/>
      <x:c r="N12" s="8" t="str">
        <x:v>Not checked</x:v>
      </x:c>
      <x:c r="O12" s="8" t="str"/>
      <x:c r="P12" s="8" t="str"/>
      <x:c r="Q12" s="24"/>
      <x:c r="R12" s="24"/>
      <x:c r="S12" s="8" t="str"/>
      <x:c r="T12" s="8" t="str"/>
      <x:c r="U12" s="8" t="str"/>
      <x:c r="V12" s="25"/>
      <x:c r="W12" s="24"/>
      <x:c r="X12" s="24"/>
    </x:row>
    <x:row r="13" ht="24" customHeight="1">
      <x:c r="A13" s="7" t="str">
        <x:v>K-393-N4-CP</x:v>
      </x:c>
      <x:c r="B13" s="7" t="str">
        <x:v>Kohler Devonshire Centerset Bathroom Faucet</x:v>
      </x:c>
      <x:c r="C13" s="7" t="str">
        <x:v>faucets</x:v>
      </x:c>
      <x:c r="D13" s="8" t="str">
        <x:v>Not checked</x:v>
      </x:c>
      <x:c r="E13" s="8" t="str"/>
      <x:c r="F13" s="26" t="str"/>
      <x:c r="G13" s="23"/>
      <x:c r="H13" s="24"/>
      <x:c r="I13" s="24"/>
      <x:c r="J13" s="8" t="str">
        <x:v>Not checked</x:v>
      </x:c>
      <x:c r="K13" s="8" t="str"/>
      <x:c r="L13" s="8" t="str">
        <x:v>https://lookforwatersense.epa.gov/products/</x:v>
      </x:c>
      <x:c r="M13" s="23"/>
      <x:c r="N13" s="8" t="str">
        <x:v>Not checked</x:v>
      </x:c>
      <x:c r="O13" s="8" t="str"/>
      <x:c r="P13" s="8" t="str"/>
      <x:c r="Q13" s="24"/>
      <x:c r="R13" s="24"/>
      <x:c r="S13" s="8" t="str"/>
      <x:c r="T13" s="8" t="str"/>
      <x:c r="U13" s="8" t="str"/>
      <x:c r="V13" s="25"/>
      <x:c r="W13" s="24"/>
      <x:c r="X13" s="24"/>
    </x:row>
    <x:row r="14" ht="24" customHeight="1">
      <x:c r="A14" s="7" t="str">
        <x:v>K-72288IN-4-CP</x:v>
      </x:c>
      <x:c r="B14" s="7" t="str">
        <x:v>Kohler Aleo Single-Control Pillar Faucet</x:v>
      </x:c>
      <x:c r="C14" s="7" t="str">
        <x:v>faucets</x:v>
      </x:c>
      <x:c r="D14" s="8" t="str">
        <x:v>Not checked</x:v>
      </x:c>
      <x:c r="E14" s="8" t="str"/>
      <x:c r="F14" s="26" t="str"/>
      <x:c r="G14" s="23"/>
      <x:c r="H14" s="24"/>
      <x:c r="I14" s="24"/>
      <x:c r="J14" s="8" t="str">
        <x:v>Not checked</x:v>
      </x:c>
      <x:c r="K14" s="8" t="str"/>
      <x:c r="L14" s="8" t="str">
        <x:v>https://lookforwatersense.epa.gov/products/</x:v>
      </x:c>
      <x:c r="M14" s="23"/>
      <x:c r="N14" s="8" t="str">
        <x:v>Not checked</x:v>
      </x:c>
      <x:c r="O14" s="8" t="str"/>
      <x:c r="P14" s="8" t="str"/>
      <x:c r="Q14" s="24"/>
      <x:c r="R14" s="24"/>
      <x:c r="S14" s="8" t="str"/>
      <x:c r="T14" s="8" t="str"/>
      <x:c r="U14" s="8" t="str"/>
      <x:c r="V14" s="25"/>
      <x:c r="W14" s="24"/>
      <x:c r="X14" s="24"/>
    </x:row>
    <x:row r="15" ht="24" customHeight="1">
      <x:c r="A15" s="7" t="str">
        <x:v>K-77958-4-BL</x:v>
      </x:c>
      <x:c r="B15" s="7" t="str">
        <x:v>Kohler Components Widespread Bathroom Faucet</x:v>
      </x:c>
      <x:c r="C15" s="7" t="str">
        <x:v>faucets</x:v>
      </x:c>
      <x:c r="D15" s="8" t="str">
        <x:v>Not checked</x:v>
      </x:c>
      <x:c r="E15" s="8" t="str"/>
      <x:c r="F15" s="26" t="str"/>
      <x:c r="G15" s="23"/>
      <x:c r="H15" s="24"/>
      <x:c r="I15" s="24"/>
      <x:c r="J15" s="8" t="str">
        <x:v>Not checked</x:v>
      </x:c>
      <x:c r="K15" s="8" t="str"/>
      <x:c r="L15" s="8" t="str">
        <x:v>https://lookforwatersense.epa.gov/products/</x:v>
      </x:c>
      <x:c r="M15" s="23"/>
      <x:c r="N15" s="8" t="str">
        <x:v>Not checked</x:v>
      </x:c>
      <x:c r="O15" s="8" t="str"/>
      <x:c r="P15" s="8" t="str"/>
      <x:c r="Q15" s="24"/>
      <x:c r="R15" s="24"/>
      <x:c r="S15" s="8" t="str"/>
      <x:c r="T15" s="8" t="str"/>
      <x:c r="U15" s="8" t="str"/>
      <x:c r="V15" s="25"/>
      <x:c r="W15" s="24"/>
      <x:c r="X15" s="24"/>
    </x:row>
    <x:row r="16" ht="24" customHeight="1">
      <x:c r="A16" s="7" t="str">
        <x:v>K-3999-0</x:v>
      </x:c>
      <x:c r="B16" s="7" t="str">
        <x:v>Highline Comfort Height Two-Piece Toilet</x:v>
      </x:c>
      <x:c r="C16" s="7" t="str">
        <x:v>toilets</x:v>
      </x:c>
      <x:c r="D16" s="8" t="str">
        <x:v>Not checked</x:v>
      </x:c>
      <x:c r="E16" s="8" t="str"/>
      <x:c r="F16" s="26" t="str"/>
      <x:c r="G16" s="23"/>
      <x:c r="H16" s="24"/>
      <x:c r="I16" s="24"/>
      <x:c r="J16" s="8" t="str">
        <x:v>Not checked</x:v>
      </x:c>
      <x:c r="K16" s="8" t="str"/>
      <x:c r="L16" s="8" t="str">
        <x:v>https://lookforwatersense.epa.gov/products/</x:v>
      </x:c>
      <x:c r="M16" s="23"/>
      <x:c r="N16" s="8" t="str">
        <x:v>Not checked</x:v>
      </x:c>
      <x:c r="O16" s="8" t="str"/>
      <x:c r="P16" s="8" t="str"/>
      <x:c r="Q16" s="24"/>
      <x:c r="R16" s="24"/>
      <x:c r="S16" s="8" t="str"/>
      <x:c r="T16" s="8" t="str"/>
      <x:c r="U16" s="8" t="str"/>
      <x:c r="V16" s="25"/>
      <x:c r="W16" s="24"/>
      <x:c r="X16" s="24"/>
    </x:row>
    <x:row r="17" ht="24" customHeight="1">
      <x:c r="A17" s="7" t="str">
        <x:v>K-3810-0</x:v>
      </x:c>
      <x:c r="B17" s="7" t="str">
        <x:v>Santa Rosa Compact Elongated One-Piece Toilet</x:v>
      </x:c>
      <x:c r="C17" s="7" t="str">
        <x:v>toilets</x:v>
      </x:c>
      <x:c r="D17" s="8" t="str">
        <x:v>Not checked</x:v>
      </x:c>
      <x:c r="E17" s="8" t="str"/>
      <x:c r="F17" s="26" t="str"/>
      <x:c r="G17" s="23"/>
      <x:c r="H17" s="24"/>
      <x:c r="I17" s="24"/>
      <x:c r="J17" s="8" t="str">
        <x:v>Not checked</x:v>
      </x:c>
      <x:c r="K17" s="8" t="str"/>
      <x:c r="L17" s="8" t="str">
        <x:v>https://lookforwatersense.epa.gov/products/</x:v>
      </x:c>
      <x:c r="M17" s="23"/>
      <x:c r="N17" s="8" t="str">
        <x:v>Not checked</x:v>
      </x:c>
      <x:c r="O17" s="8" t="str"/>
      <x:c r="P17" s="8" t="str"/>
      <x:c r="Q17" s="24"/>
      <x:c r="R17" s="24"/>
      <x:c r="S17" s="8" t="str"/>
      <x:c r="T17" s="8" t="str"/>
      <x:c r="U17" s="8" t="str"/>
      <x:c r="V17" s="25"/>
      <x:c r="W17" s="24"/>
      <x:c r="X17" s="24"/>
    </x:row>
    <x:row r="18" ht="24" customHeight="1">
      <x:c r="A18" s="7" t="str">
        <x:v>K-6355-0</x:v>
      </x:c>
      <x:c r="B18" s="7" t="str">
        <x:v>Persuade Curated Dual-Flush Skirted Toilet</x:v>
      </x:c>
      <x:c r="C18" s="7" t="str">
        <x:v>toilets</x:v>
      </x:c>
      <x:c r="D18" s="8" t="str">
        <x:v>Not checked</x:v>
      </x:c>
      <x:c r="E18" s="8" t="str"/>
      <x:c r="F18" s="26" t="str"/>
      <x:c r="G18" s="23"/>
      <x:c r="H18" s="24"/>
      <x:c r="I18" s="24"/>
      <x:c r="J18" s="8" t="str">
        <x:v>Not checked</x:v>
      </x:c>
      <x:c r="K18" s="8" t="str"/>
      <x:c r="L18" s="8" t="str">
        <x:v>https://lookforwatersense.epa.gov/products/</x:v>
      </x:c>
      <x:c r="M18" s="23"/>
      <x:c r="N18" s="8" t="str">
        <x:v>Not checked</x:v>
      </x:c>
      <x:c r="O18" s="8" t="str"/>
      <x:c r="P18" s="8" t="str"/>
      <x:c r="Q18" s="24"/>
      <x:c r="R18" s="24"/>
      <x:c r="S18" s="8" t="str"/>
      <x:c r="T18" s="8" t="str"/>
      <x:c r="U18" s="8" t="str"/>
      <x:c r="V18" s="25"/>
      <x:c r="W18" s="24"/>
      <x:c r="X18" s="24"/>
    </x:row>
    <x:row r="19" ht="24" customHeight="1">
      <x:c r="A19" s="7" t="str">
        <x:v>K-4007-0</x:v>
      </x:c>
      <x:c r="B19" s="7" t="str">
        <x:v>San Souci Low-Profile One-Piece Toilet</x:v>
      </x:c>
      <x:c r="C19" s="7" t="str">
        <x:v>toilets</x:v>
      </x:c>
      <x:c r="D19" s="8" t="str">
        <x:v>Not checked</x:v>
      </x:c>
      <x:c r="E19" s="8" t="str"/>
      <x:c r="F19" s="26" t="str"/>
      <x:c r="G19" s="23"/>
      <x:c r="H19" s="24"/>
      <x:c r="I19" s="24"/>
      <x:c r="J19" s="8" t="str">
        <x:v>Not checked</x:v>
      </x:c>
      <x:c r="K19" s="8" t="str"/>
      <x:c r="L19" s="8" t="str">
        <x:v>https://lookforwatersense.epa.gov/products/</x:v>
      </x:c>
      <x:c r="M19" s="23"/>
      <x:c r="N19" s="8" t="str">
        <x:v>Not checked</x:v>
      </x:c>
      <x:c r="O19" s="8" t="str"/>
      <x:c r="P19" s="8" t="str"/>
      <x:c r="Q19" s="24"/>
      <x:c r="R19" s="24"/>
      <x:c r="S19" s="8" t="str"/>
      <x:c r="T19" s="8" t="str"/>
      <x:c r="U19" s="8" t="str"/>
      <x:c r="V19" s="25"/>
      <x:c r="W19" s="24"/>
      <x:c r="X19" s="24"/>
    </x:row>
    <x:row r="20" ht="24" customHeight="1">
      <x:c r="A20" s="7" t="str">
        <x:v>K-18829-0</x:v>
      </x:c>
      <x:c r="B20" s="7" t="str">
        <x:v>Reach Wall-Hung Concealed Tank Toilet</x:v>
      </x:c>
      <x:c r="C20" s="7" t="str">
        <x:v>toilets</x:v>
      </x:c>
      <x:c r="D20" s="8" t="str">
        <x:v>Not checked</x:v>
      </x:c>
      <x:c r="E20" s="8" t="str"/>
      <x:c r="F20" s="26" t="str"/>
      <x:c r="G20" s="23"/>
      <x:c r="H20" s="24"/>
      <x:c r="I20" s="24"/>
      <x:c r="J20" s="8" t="str">
        <x:v>Not checked</x:v>
      </x:c>
      <x:c r="K20" s="8" t="str"/>
      <x:c r="L20" s="8" t="str">
        <x:v>https://lookforwatersense.epa.gov/products/</x:v>
      </x:c>
      <x:c r="M20" s="23"/>
      <x:c r="N20" s="8" t="str">
        <x:v>Not checked</x:v>
      </x:c>
      <x:c r="O20" s="8" t="str"/>
      <x:c r="P20" s="8" t="str"/>
      <x:c r="Q20" s="24"/>
      <x:c r="R20" s="24"/>
      <x:c r="S20" s="8" t="str"/>
      <x:c r="T20" s="8" t="str"/>
      <x:c r="U20" s="8" t="str"/>
      <x:c r="V20" s="25"/>
      <x:c r="W20" s="24"/>
      <x:c r="X20" s="24"/>
    </x:row>
    <x:row r="21" ht="24" customHeight="1">
      <x:c r="A21" s="7" t="str">
        <x:v>K-3981-0</x:v>
      </x:c>
      <x:c r="B21" s="7" t="str">
        <x:v>Tresham Comfort Height Two-Piece Toilet</x:v>
      </x:c>
      <x:c r="C21" s="7" t="str">
        <x:v>toilets</x:v>
      </x:c>
      <x:c r="D21" s="8" t="str">
        <x:v>Not checked</x:v>
      </x:c>
      <x:c r="E21" s="8" t="str"/>
      <x:c r="F21" s="26" t="str"/>
      <x:c r="G21" s="23"/>
      <x:c r="H21" s="24"/>
      <x:c r="I21" s="24"/>
      <x:c r="J21" s="8" t="str">
        <x:v>Not checked</x:v>
      </x:c>
      <x:c r="K21" s="8" t="str"/>
      <x:c r="L21" s="8" t="str">
        <x:v>https://lookforwatersense.epa.gov/products/</x:v>
      </x:c>
      <x:c r="M21" s="23"/>
      <x:c r="N21" s="8" t="str">
        <x:v>Not checked</x:v>
      </x:c>
      <x:c r="O21" s="8" t="str"/>
      <x:c r="P21" s="8" t="str"/>
      <x:c r="Q21" s="24"/>
      <x:c r="R21" s="24"/>
      <x:c r="S21" s="8" t="str"/>
      <x:c r="T21" s="8" t="str"/>
      <x:c r="U21" s="8" t="str"/>
      <x:c r="V21" s="25"/>
      <x:c r="W21" s="24"/>
      <x:c r="X21" s="24"/>
    </x:row>
    <x:row r="22" ht="24" customHeight="1">
      <x:c r="A22" s="7" t="str">
        <x:v>K-76301-0</x:v>
      </x:c>
      <x:c r="B22" s="7" t="str">
        <x:v>Betello ContinuousClean Skirted Toilet</x:v>
      </x:c>
      <x:c r="C22" s="7" t="str">
        <x:v>toilets</x:v>
      </x:c>
      <x:c r="D22" s="8" t="str">
        <x:v>Not checked</x:v>
      </x:c>
      <x:c r="E22" s="8" t="str"/>
      <x:c r="F22" s="26" t="str"/>
      <x:c r="G22" s="23"/>
      <x:c r="H22" s="24"/>
      <x:c r="I22" s="24"/>
      <x:c r="J22" s="8" t="str">
        <x:v>Not checked</x:v>
      </x:c>
      <x:c r="K22" s="8" t="str"/>
      <x:c r="L22" s="8" t="str">
        <x:v>https://lookforwatersense.epa.gov/products/</x:v>
      </x:c>
      <x:c r="M22" s="23"/>
      <x:c r="N22" s="8" t="str">
        <x:v>Not checked</x:v>
      </x:c>
      <x:c r="O22" s="8" t="str"/>
      <x:c r="P22" s="8" t="str"/>
      <x:c r="Q22" s="24"/>
      <x:c r="R22" s="24"/>
      <x:c r="S22" s="8" t="str"/>
      <x:c r="T22" s="8" t="str"/>
      <x:c r="U22" s="8" t="str"/>
      <x:c r="V22" s="25"/>
      <x:c r="W22" s="24"/>
      <x:c r="X22" s="24"/>
    </x:row>
    <x:row r="23" ht="24" customHeight="1">
      <x:c r="A23" s="7" t="str">
        <x:v>K-5401-0</x:v>
      </x:c>
      <x:c r="B23" s="7" t="str">
        <x:v>Veil Intelligent Smart Bidet Toilet</x:v>
      </x:c>
      <x:c r="C23" s="7" t="str">
        <x:v>toilets</x:v>
      </x:c>
      <x:c r="D23" s="8" t="str">
        <x:v>Not checked</x:v>
      </x:c>
      <x:c r="E23" s="8" t="str"/>
      <x:c r="F23" s="26" t="str"/>
      <x:c r="G23" s="23"/>
      <x:c r="H23" s="24"/>
      <x:c r="I23" s="24"/>
      <x:c r="J23" s="8" t="str">
        <x:v>Not checked</x:v>
      </x:c>
      <x:c r="K23" s="8" t="str"/>
      <x:c r="L23" s="8" t="str">
        <x:v>https://lookforwatersense.epa.gov/products/</x:v>
      </x:c>
      <x:c r="M23" s="23"/>
      <x:c r="N23" s="8" t="str">
        <x:v>Not checked</x:v>
      </x:c>
      <x:c r="O23" s="8" t="str"/>
      <x:c r="P23" s="8" t="str"/>
      <x:c r="Q23" s="24"/>
      <x:c r="R23" s="24"/>
      <x:c r="S23" s="8" t="str"/>
      <x:c r="T23" s="8" t="str"/>
      <x:c r="U23" s="8" t="str"/>
      <x:c r="V23" s="25"/>
      <x:c r="W23" s="24"/>
      <x:c r="X23" s="24"/>
    </x:row>
    <x:row r="24" ht="24" customHeight="1">
      <x:c r="A24" s="7" t="str">
        <x:v>K-77795-0</x:v>
      </x:c>
      <x:c r="B24" s="7" t="str">
        <x:v>Eir Intelligent Luxury Smart Toilet</x:v>
      </x:c>
      <x:c r="C24" s="7" t="str">
        <x:v>toilets</x:v>
      </x:c>
      <x:c r="D24" s="8" t="str">
        <x:v>Not checked</x:v>
      </x:c>
      <x:c r="E24" s="8" t="str"/>
      <x:c r="F24" s="26" t="str"/>
      <x:c r="G24" s="23"/>
      <x:c r="H24" s="24"/>
      <x:c r="I24" s="24"/>
      <x:c r="J24" s="8" t="str">
        <x:v>Not checked</x:v>
      </x:c>
      <x:c r="K24" s="8" t="str"/>
      <x:c r="L24" s="8" t="str">
        <x:v>https://lookforwatersense.epa.gov/products/</x:v>
      </x:c>
      <x:c r="M24" s="23"/>
      <x:c r="N24" s="8" t="str">
        <x:v>Not checked</x:v>
      </x:c>
      <x:c r="O24" s="8" t="str"/>
      <x:c r="P24" s="8" t="str"/>
      <x:c r="Q24" s="24"/>
      <x:c r="R24" s="24"/>
      <x:c r="S24" s="8" t="str"/>
      <x:c r="T24" s="8" t="str"/>
      <x:c r="U24" s="8" t="str"/>
      <x:c r="V24" s="25"/>
      <x:c r="W24" s="24"/>
      <x:c r="X24" s="24"/>
    </x:row>
    <x:row r="25" ht="24" customHeight="1">
      <x:c r="A25" s="7" t="str">
        <x:v>K-30754-0</x:v>
      </x:c>
      <x:c r="B25" s="7" t="str">
        <x:v>Numi 2.0 Flagship Intelligent Smart Toilet</x:v>
      </x:c>
      <x:c r="C25" s="7" t="str">
        <x:v>toilets</x:v>
      </x:c>
      <x:c r="D25" s="8" t="str">
        <x:v>Not checked</x:v>
      </x:c>
      <x:c r="E25" s="8" t="str"/>
      <x:c r="F25" s="26" t="str"/>
      <x:c r="G25" s="23"/>
      <x:c r="H25" s="24"/>
      <x:c r="I25" s="24"/>
      <x:c r="J25" s="8" t="str">
        <x:v>Not checked</x:v>
      </x:c>
      <x:c r="K25" s="8" t="str"/>
      <x:c r="L25" s="8" t="str">
        <x:v>https://lookforwatersense.epa.gov/products/</x:v>
      </x:c>
      <x:c r="M25" s="23"/>
      <x:c r="N25" s="8" t="str">
        <x:v>Not checked</x:v>
      </x:c>
      <x:c r="O25" s="8" t="str"/>
      <x:c r="P25" s="8" t="str"/>
      <x:c r="Q25" s="24"/>
      <x:c r="R25" s="24"/>
      <x:c r="S25" s="8" t="str"/>
      <x:c r="T25" s="8" t="str"/>
      <x:c r="U25" s="8" t="str"/>
      <x:c r="V25" s="25"/>
      <x:c r="W25" s="24"/>
      <x:c r="X25" s="24"/>
    </x:row>
    <x:row r="26" ht="24" customHeight="1">
      <x:c r="A26" s="7" t="str">
        <x:v>K-28238-CP</x:v>
      </x:c>
      <x:c r="B26" s="7" t="str">
        <x:v>Moxie Bluetooth Speaker Showerhead</x:v>
      </x:c>
      <x:c r="C26" s="7" t="str">
        <x:v>showers</x:v>
      </x:c>
      <x:c r="D26" s="8" t="str">
        <x:v>Not checked</x:v>
      </x:c>
      <x:c r="E26" s="8" t="str"/>
      <x:c r="F26" s="26" t="str"/>
      <x:c r="G26" s="23"/>
      <x:c r="H26" s="24"/>
      <x:c r="I26" s="24"/>
      <x:c r="J26" s="8" t="str">
        <x:v>Not checked</x:v>
      </x:c>
      <x:c r="K26" s="8" t="str"/>
      <x:c r="L26" s="8" t="str">
        <x:v>https://lookforwatersense.epa.gov/products/</x:v>
      </x:c>
      <x:c r="M26" s="23"/>
      <x:c r="N26" s="8" t="str">
        <x:v>Not checked</x:v>
      </x:c>
      <x:c r="O26" s="8" t="str"/>
      <x:c r="P26" s="8" t="str"/>
      <x:c r="Q26" s="24"/>
      <x:c r="R26" s="24"/>
      <x:c r="S26" s="8" t="str"/>
      <x:c r="T26" s="8" t="str"/>
      <x:c r="U26" s="8" t="str"/>
      <x:c r="V26" s="25"/>
      <x:c r="W26" s="24"/>
      <x:c r="X26" s="24"/>
    </x:row>
    <x:row r="27" ht="24" customHeight="1">
      <x:c r="A27" s="7" t="str">
        <x:v>K-26290-CP</x:v>
      </x:c>
      <x:c r="B27" s="7" t="str">
        <x:v>Statement Oval Three-Function Showerhead</x:v>
      </x:c>
      <x:c r="C27" s="7" t="str">
        <x:v>showers</x:v>
      </x:c>
      <x:c r="D27" s="8" t="str">
        <x:v>Not checked</x:v>
      </x:c>
      <x:c r="E27" s="8" t="str"/>
      <x:c r="F27" s="26" t="str"/>
      <x:c r="G27" s="23"/>
      <x:c r="H27" s="24"/>
      <x:c r="I27" s="24"/>
      <x:c r="J27" s="8" t="str">
        <x:v>Not checked</x:v>
      </x:c>
      <x:c r="K27" s="8" t="str"/>
      <x:c r="L27" s="8" t="str">
        <x:v>https://lookforwatersense.epa.gov/products/</x:v>
      </x:c>
      <x:c r="M27" s="23"/>
      <x:c r="N27" s="8" t="str">
        <x:v>Not checked</x:v>
      </x:c>
      <x:c r="O27" s="8" t="str"/>
      <x:c r="P27" s="8" t="str"/>
      <x:c r="Q27" s="24"/>
      <x:c r="R27" s="24"/>
      <x:c r="S27" s="8" t="str"/>
      <x:c r="T27" s="8" t="str"/>
      <x:c r="U27" s="8" t="str"/>
      <x:c r="V27" s="25"/>
      <x:c r="W27" s="24"/>
      <x:c r="X27" s="24"/>
    </x:row>
    <x:row r="28" ht="24" customHeight="1">
      <x:c r="A28" s="7" t="str">
        <x:v>K-965-AK-CP</x:v>
      </x:c>
      <x:c r="B28" s="7" t="str">
        <x:v>Purist Single-Function Katalyst Showerhead</x:v>
      </x:c>
      <x:c r="C28" s="7" t="str">
        <x:v>showers</x:v>
      </x:c>
      <x:c r="D28" s="8" t="str">
        <x:v>Not checked</x:v>
      </x:c>
      <x:c r="E28" s="8" t="str"/>
      <x:c r="F28" s="26" t="str"/>
      <x:c r="G28" s="23"/>
      <x:c r="H28" s="24"/>
      <x:c r="I28" s="24"/>
      <x:c r="J28" s="8" t="str">
        <x:v>Not checked</x:v>
      </x:c>
      <x:c r="K28" s="8" t="str"/>
      <x:c r="L28" s="8" t="str">
        <x:v>https://lookforwatersense.epa.gov/products/</x:v>
      </x:c>
      <x:c r="M28" s="23"/>
      <x:c r="N28" s="8" t="str">
        <x:v>Not checked</x:v>
      </x:c>
      <x:c r="O28" s="8" t="str"/>
      <x:c r="P28" s="8" t="str"/>
      <x:c r="Q28" s="24"/>
      <x:c r="R28" s="24"/>
      <x:c r="S28" s="8" t="str"/>
      <x:c r="T28" s="8" t="str"/>
      <x:c r="U28" s="8" t="str"/>
      <x:c r="V28" s="25"/>
      <x:c r="W28" s="24"/>
      <x:c r="X28" s="24"/>
    </x:row>
    <x:row r="29" ht="24" customHeight="1">
      <x:c r="A29" s="7" t="str">
        <x:v>K-72773-2MB</x:v>
      </x:c>
      <x:c r="B29" s="7" t="str">
        <x:v>Artifacts Single-Function Heritage Showerhead</x:v>
      </x:c>
      <x:c r="C29" s="7" t="str">
        <x:v>showers</x:v>
      </x:c>
      <x:c r="D29" s="8" t="str">
        <x:v>Not checked</x:v>
      </x:c>
      <x:c r="E29" s="8" t="str"/>
      <x:c r="F29" s="26" t="str"/>
      <x:c r="G29" s="23"/>
      <x:c r="H29" s="24"/>
      <x:c r="I29" s="24"/>
      <x:c r="J29" s="8" t="str">
        <x:v>Not checked</x:v>
      </x:c>
      <x:c r="K29" s="8" t="str"/>
      <x:c r="L29" s="8" t="str">
        <x:v>https://lookforwatersense.epa.gov/products/</x:v>
      </x:c>
      <x:c r="M29" s="23"/>
      <x:c r="N29" s="8" t="str">
        <x:v>Not checked</x:v>
      </x:c>
      <x:c r="O29" s="8" t="str"/>
      <x:c r="P29" s="8" t="str"/>
      <x:c r="Q29" s="24"/>
      <x:c r="R29" s="24"/>
      <x:c r="S29" s="8" t="str"/>
      <x:c r="T29" s="8" t="str"/>
      <x:c r="U29" s="8" t="str"/>
      <x:c r="V29" s="25"/>
      <x:c r="W29" s="24"/>
      <x:c r="X29" s="24"/>
    </x:row>
    <x:row r="30" ht="24" customHeight="1">
      <x:c r="A30" s="7" t="str">
        <x:v>K-13688-CP</x:v>
      </x:c>
      <x:c r="B30" s="7" t="str">
        <x:v>Contemporary 8-Inch Round Rainhead</x:v>
      </x:c>
      <x:c r="C30" s="7" t="str">
        <x:v>showers</x:v>
      </x:c>
      <x:c r="D30" s="8" t="str">
        <x:v>Not checked</x:v>
      </x:c>
      <x:c r="E30" s="8" t="str"/>
      <x:c r="F30" s="26" t="str"/>
      <x:c r="G30" s="23"/>
      <x:c r="H30" s="24"/>
      <x:c r="I30" s="24"/>
      <x:c r="J30" s="8" t="str">
        <x:v>Not checked</x:v>
      </x:c>
      <x:c r="K30" s="8" t="str"/>
      <x:c r="L30" s="8" t="str">
        <x:v>https://lookforwatersense.epa.gov/products/</x:v>
      </x:c>
      <x:c r="M30" s="23"/>
      <x:c r="N30" s="8" t="str">
        <x:v>Not checked</x:v>
      </x:c>
      <x:c r="O30" s="8" t="str"/>
      <x:c r="P30" s="8" t="str"/>
      <x:c r="Q30" s="24"/>
      <x:c r="R30" s="24"/>
      <x:c r="S30" s="8" t="str"/>
      <x:c r="T30" s="8" t="str"/>
      <x:c r="U30" s="8" t="str"/>
      <x:c r="V30" s="25"/>
      <x:c r="W30" s="24"/>
      <x:c r="X30" s="24"/>
    </x:row>
    <x:row r="31" ht="24" customHeight="1">
      <x:c r="A31" s="7" t="str">
        <x:v>K-76465-CP</x:v>
      </x:c>
      <x:c r="B31" s="7" t="str">
        <x:v>Awaken Multi-Function Spray Showerhead</x:v>
      </x:c>
      <x:c r="C31" s="7" t="str">
        <x:v>showers</x:v>
      </x:c>
      <x:c r="D31" s="8" t="str">
        <x:v>Not checked</x:v>
      </x:c>
      <x:c r="E31" s="8" t="str"/>
      <x:c r="F31" s="26" t="str"/>
      <x:c r="G31" s="23"/>
      <x:c r="H31" s="24"/>
      <x:c r="I31" s="24"/>
      <x:c r="J31" s="8" t="str">
        <x:v>Not checked</x:v>
      </x:c>
      <x:c r="K31" s="8" t="str"/>
      <x:c r="L31" s="8" t="str">
        <x:v>https://lookforwatersense.epa.gov/products/</x:v>
      </x:c>
      <x:c r="M31" s="23"/>
      <x:c r="N31" s="8" t="str">
        <x:v>Not checked</x:v>
      </x:c>
      <x:c r="O31" s="8" t="str"/>
      <x:c r="P31" s="8" t="str"/>
      <x:c r="Q31" s="24"/>
      <x:c r="R31" s="24"/>
      <x:c r="S31" s="8" t="str"/>
      <x:c r="T31" s="8" t="str"/>
      <x:c r="U31" s="8" t="str"/>
      <x:c r="V31" s="25"/>
      <x:c r="W31" s="24"/>
      <x:c r="X31" s="24"/>
    </x:row>
    <x:row r="32" ht="24" customHeight="1">
      <x:c r="A32" s="7" t="str">
        <x:v>K-22169-BN</x:v>
      </x:c>
      <x:c r="B32" s="7" t="str">
        <x:v>Statement 12-Inch Barrel Rain Canopy</x:v>
      </x:c>
      <x:c r="C32" s="7" t="str">
        <x:v>showers</x:v>
      </x:c>
      <x:c r="D32" s="8" t="str">
        <x:v>Not checked</x:v>
      </x:c>
      <x:c r="E32" s="8" t="str"/>
      <x:c r="F32" s="26" t="str"/>
      <x:c r="G32" s="23"/>
      <x:c r="H32" s="24"/>
      <x:c r="I32" s="24"/>
      <x:c r="J32" s="8" t="str">
        <x:v>Not checked</x:v>
      </x:c>
      <x:c r="K32" s="8" t="str"/>
      <x:c r="L32" s="8" t="str">
        <x:v>https://lookforwatersense.epa.gov/products/</x:v>
      </x:c>
      <x:c r="M32" s="23"/>
      <x:c r="N32" s="8" t="str">
        <x:v>Not checked</x:v>
      </x:c>
      <x:c r="O32" s="8" t="str"/>
      <x:c r="P32" s="8" t="str"/>
      <x:c r="Q32" s="24"/>
      <x:c r="R32" s="24"/>
      <x:c r="S32" s="8" t="str"/>
      <x:c r="T32" s="8" t="str"/>
      <x:c r="U32" s="8" t="str"/>
      <x:c r="V32" s="25"/>
      <x:c r="W32" s="24"/>
      <x:c r="X32" s="24"/>
    </x:row>
    <x:row r="33" ht="24" customHeight="1">
      <x:c r="A33" s="7" t="str">
        <x:v>K-15996-BL</x:v>
      </x:c>
      <x:c r="B33" s="7" t="str">
        <x:v>Shift Ellipse Multi-Function Handshower</x:v>
      </x:c>
      <x:c r="C33" s="7" t="str">
        <x:v>showers</x:v>
      </x:c>
      <x:c r="D33" s="8" t="str">
        <x:v>Not checked</x:v>
      </x:c>
      <x:c r="E33" s="8" t="str"/>
      <x:c r="F33" s="26" t="str"/>
      <x:c r="G33" s="23"/>
      <x:c r="H33" s="24"/>
      <x:c r="I33" s="24"/>
      <x:c r="J33" s="8" t="str">
        <x:v>Not checked</x:v>
      </x:c>
      <x:c r="K33" s="8" t="str"/>
      <x:c r="L33" s="8" t="str">
        <x:v>https://lookforwatersense.epa.gov/products/</x:v>
      </x:c>
      <x:c r="M33" s="23"/>
      <x:c r="N33" s="8" t="str">
        <x:v>Not checked</x:v>
      </x:c>
      <x:c r="O33" s="8" t="str"/>
      <x:c r="P33" s="8" t="str"/>
      <x:c r="Q33" s="24"/>
      <x:c r="R33" s="24"/>
      <x:c r="S33" s="8" t="str"/>
      <x:c r="T33" s="8" t="str"/>
      <x:c r="U33" s="8" t="str"/>
      <x:c r="V33" s="25"/>
      <x:c r="W33" s="24"/>
      <x:c r="X33" s="24"/>
    </x:row>
    <x:row r="34" ht="24" customHeight="1">
      <x:c r="A34" s="7" t="str">
        <x:v>K-22170-CP</x:v>
      </x:c>
      <x:c r="B34" s="7" t="str">
        <x:v>Purist Three-Function Multi-Flow Showerhead</x:v>
      </x:c>
      <x:c r="C34" s="7" t="str">
        <x:v>showers</x:v>
      </x:c>
      <x:c r="D34" s="8" t="str">
        <x:v>Not checked</x:v>
      </x:c>
      <x:c r="E34" s="8" t="str"/>
      <x:c r="F34" s="26" t="str"/>
      <x:c r="G34" s="23"/>
      <x:c r="H34" s="24"/>
      <x:c r="I34" s="24"/>
      <x:c r="J34" s="8" t="str">
        <x:v>Not checked</x:v>
      </x:c>
      <x:c r="K34" s="8" t="str"/>
      <x:c r="L34" s="8" t="str">
        <x:v>https://lookforwatersense.epa.gov/products/</x:v>
      </x:c>
      <x:c r="M34" s="23"/>
      <x:c r="N34" s="8" t="str">
        <x:v>Not checked</x:v>
      </x:c>
      <x:c r="O34" s="8" t="str"/>
      <x:c r="P34" s="8" t="str"/>
      <x:c r="Q34" s="24"/>
      <x:c r="R34" s="24"/>
      <x:c r="S34" s="8" t="str"/>
      <x:c r="T34" s="8" t="str"/>
      <x:c r="U34" s="8" t="str"/>
      <x:c r="V34" s="25"/>
      <x:c r="W34" s="24"/>
      <x:c r="X34" s="24"/>
    </x:row>
    <x:row r="35" ht="24" customHeight="1">
      <x:c r="A35" s="7" t="str">
        <x:v>34050IN-CP</x:v>
      </x:c>
      <x:c r="B35" s="7" t="str">
        <x:v>APT Square Single-Function Rain Showerhead</x:v>
      </x:c>
      <x:c r="C35" s="7" t="str">
        <x:v>showers</x:v>
      </x:c>
      <x:c r="D35" s="8" t="str">
        <x:v>Not checked</x:v>
      </x:c>
      <x:c r="E35" s="8" t="str"/>
      <x:c r="F35" s="26" t="str"/>
      <x:c r="G35" s="23"/>
      <x:c r="H35" s="24"/>
      <x:c r="I35" s="24"/>
      <x:c r="J35" s="8" t="str">
        <x:v>Not checked</x:v>
      </x:c>
      <x:c r="K35" s="8" t="str"/>
      <x:c r="L35" s="8" t="str">
        <x:v>https://lookforwatersense.epa.gov/products/</x:v>
      </x:c>
      <x:c r="M35" s="23"/>
      <x:c r="N35" s="8" t="str">
        <x:v>Not checked</x:v>
      </x:c>
      <x:c r="O35" s="8" t="str"/>
      <x:c r="P35" s="8" t="str"/>
      <x:c r="Q35" s="24"/>
      <x:c r="R35" s="24"/>
      <x:c r="S35" s="8" t="str"/>
      <x:c r="T35" s="8" t="str"/>
      <x:c r="U35" s="8" t="str"/>
      <x:c r="V35" s="25"/>
      <x:c r="W35" s="24"/>
      <x:c r="X35" s="24"/>
    </x:row>
    <x:row r="36" ht="24" customHeight="1">
      <x:c r="A36" s="7" t="str">
        <x:v>K-99522-1WA</x:v>
      </x:c>
      <x:c r="B36" s="7" t="str">
        <x:v>Damask 30-Inch Single Bathroom Vanity</x:v>
      </x:c>
      <x:c r="C36" s="7" t="str">
        <x:v>vanities</x:v>
      </x:c>
      <x:c r="D36" s="8" t="str">
        <x:v>Not checked</x:v>
      </x:c>
      <x:c r="E36" s="8" t="str"/>
      <x:c r="F36" s="26" t="str"/>
      <x:c r="G36" s="23"/>
      <x:c r="H36" s="24"/>
      <x:c r="I36" s="24"/>
      <x:c r="J36" s="8" t="str">
        <x:v>Not checked</x:v>
      </x:c>
      <x:c r="K36" s="8" t="str"/>
      <x:c r="L36" s="8" t="str">
        <x:v>https://lookforwatersense.epa.gov/products/</x:v>
      </x:c>
      <x:c r="M36" s="23"/>
      <x:c r="N36" s="8" t="str">
        <x:v>Not checked</x:v>
      </x:c>
      <x:c r="O36" s="8" t="str"/>
      <x:c r="P36" s="8" t="str"/>
      <x:c r="Q36" s="24"/>
      <x:c r="R36" s="24"/>
      <x:c r="S36" s="8" t="str"/>
      <x:c r="T36" s="8" t="str"/>
      <x:c r="U36" s="8" t="str"/>
      <x:c r="V36" s="25"/>
      <x:c r="W36" s="24"/>
      <x:c r="X36" s="24"/>
    </x:row>
    <x:row r="37" ht="24" customHeight="1">
      <x:c r="A37" s="7" t="str">
        <x:v>K-99505-1WA</x:v>
      </x:c>
      <x:c r="B37" s="7" t="str">
        <x:v>Jacquard 36-Inch Single Bathroom Vanity</x:v>
      </x:c>
      <x:c r="C37" s="7" t="str">
        <x:v>vanities</x:v>
      </x:c>
      <x:c r="D37" s="8" t="str">
        <x:v>Not checked</x:v>
      </x:c>
      <x:c r="E37" s="8" t="str"/>
      <x:c r="F37" s="26" t="str"/>
      <x:c r="G37" s="23"/>
      <x:c r="H37" s="24"/>
      <x:c r="I37" s="24"/>
      <x:c r="J37" s="8" t="str">
        <x:v>Not checked</x:v>
      </x:c>
      <x:c r="K37" s="8" t="str"/>
      <x:c r="L37" s="8" t="str">
        <x:v>https://lookforwatersense.epa.gov/products/</x:v>
      </x:c>
      <x:c r="M37" s="23"/>
      <x:c r="N37" s="8" t="str">
        <x:v>Not checked</x:v>
      </x:c>
      <x:c r="O37" s="8" t="str"/>
      <x:c r="P37" s="8" t="str"/>
      <x:c r="Q37" s="24"/>
      <x:c r="R37" s="24"/>
      <x:c r="S37" s="8" t="str"/>
      <x:c r="T37" s="8" t="str"/>
      <x:c r="U37" s="8" t="str"/>
      <x:c r="V37" s="25"/>
      <x:c r="W37" s="24"/>
      <x:c r="X37" s="24"/>
    </x:row>
    <x:row r="38" ht="24" customHeight="1">
      <x:c r="A38" s="7" t="str">
        <x:v>K-99513-1WA</x:v>
      </x:c>
      <x:c r="B38" s="7" t="str">
        <x:v>Poplin 24-Inch Compact Bathroom Vanity</x:v>
      </x:c>
      <x:c r="C38" s="7" t="str">
        <x:v>vanities</x:v>
      </x:c>
      <x:c r="D38" s="8" t="str">
        <x:v>Not checked</x:v>
      </x:c>
      <x:c r="E38" s="8" t="str"/>
      <x:c r="F38" s="26" t="str"/>
      <x:c r="G38" s="23"/>
      <x:c r="H38" s="24"/>
      <x:c r="I38" s="24"/>
      <x:c r="J38" s="8" t="str">
        <x:v>Not checked</x:v>
      </x:c>
      <x:c r="K38" s="8" t="str"/>
      <x:c r="L38" s="8" t="str">
        <x:v>https://lookforwatersense.epa.gov/products/</x:v>
      </x:c>
      <x:c r="M38" s="23"/>
      <x:c r="N38" s="8" t="str">
        <x:v>Not checked</x:v>
      </x:c>
      <x:c r="O38" s="8" t="str"/>
      <x:c r="P38" s="8" t="str"/>
      <x:c r="Q38" s="24"/>
      <x:c r="R38" s="24"/>
      <x:c r="S38" s="8" t="str"/>
      <x:c r="T38" s="8" t="str"/>
      <x:c r="U38" s="8" t="str"/>
      <x:c r="V38" s="25"/>
      <x:c r="W38" s="24"/>
      <x:c r="X38" s="24"/>
    </x:row>
    <x:row r="39" ht="24" customHeight="1">
      <x:c r="A39" s="7" t="str">
        <x:v>K-99557-SD</x:v>
      </x:c>
      <x:c r="B39" s="7" t="str">
        <x:v>Marabou 48-Inch Single Bathroom Vanity</x:v>
      </x:c>
      <x:c r="C39" s="7" t="str">
        <x:v>vanities</x:v>
      </x:c>
      <x:c r="D39" s="8" t="str">
        <x:v>Not checked</x:v>
      </x:c>
      <x:c r="E39" s="8" t="str"/>
      <x:c r="F39" s="26" t="str"/>
      <x:c r="G39" s="23"/>
      <x:c r="H39" s="24"/>
      <x:c r="I39" s="24"/>
      <x:c r="J39" s="8" t="str">
        <x:v>Not checked</x:v>
      </x:c>
      <x:c r="K39" s="8" t="str"/>
      <x:c r="L39" s="8" t="str">
        <x:v>https://lookforwatersense.epa.gov/products/</x:v>
      </x:c>
      <x:c r="M39" s="23"/>
      <x:c r="N39" s="8" t="str">
        <x:v>Not checked</x:v>
      </x:c>
      <x:c r="O39" s="8" t="str"/>
      <x:c r="P39" s="8" t="str"/>
      <x:c r="Q39" s="24"/>
      <x:c r="R39" s="24"/>
      <x:c r="S39" s="8" t="str"/>
      <x:c r="T39" s="8" t="str"/>
      <x:c r="U39" s="8" t="str"/>
      <x:c r="V39" s="25"/>
      <x:c r="W39" s="24"/>
      <x:c r="X39" s="24"/>
    </x:row>
    <x:row r="40" ht="24" customHeight="1">
      <x:c r="A40" s="7" t="str">
        <x:v>K-99541-R</x:v>
      </x:c>
      <x:c r="B40" s="7" t="str">
        <x:v>Jute 30-Inch Wall-Mount Floating Vanity</x:v>
      </x:c>
      <x:c r="C40" s="7" t="str">
        <x:v>vanities</x:v>
      </x:c>
      <x:c r="D40" s="8" t="str">
        <x:v>Not checked</x:v>
      </x:c>
      <x:c r="E40" s="8" t="str"/>
      <x:c r="F40" s="26" t="str"/>
      <x:c r="G40" s="23"/>
      <x:c r="H40" s="24"/>
      <x:c r="I40" s="24"/>
      <x:c r="J40" s="8" t="str">
        <x:v>Not checked</x:v>
      </x:c>
      <x:c r="K40" s="8" t="str"/>
      <x:c r="L40" s="8" t="str">
        <x:v>https://lookforwatersense.epa.gov/products/</x:v>
      </x:c>
      <x:c r="M40" s="23"/>
      <x:c r="N40" s="8" t="str">
        <x:v>Not checked</x:v>
      </x:c>
      <x:c r="O40" s="8" t="str"/>
      <x:c r="P40" s="8" t="str"/>
      <x:c r="Q40" s="24"/>
      <x:c r="R40" s="24"/>
      <x:c r="S40" s="8" t="str"/>
      <x:c r="T40" s="8" t="str"/>
      <x:c r="U40" s="8" t="str"/>
      <x:c r="V40" s="25"/>
      <x:c r="W40" s="24"/>
      <x:c r="X40" s="24"/>
    </x:row>
    <x:row r="41" ht="24" customHeight="1">
      <x:c r="A41" s="7" t="str">
        <x:v>K-29263-BD1-DWG</x:v>
      </x:c>
      <x:c r="B41" s="7" t="str">
        <x:v>Charlemont 60 Bathroom Vanity Cabinet</x:v>
      </x:c>
      <x:c r="C41" s="7" t="str">
        <x:v>vanities</x:v>
      </x:c>
      <x:c r="D41" s="8" t="str">
        <x:v>Not checked</x:v>
      </x:c>
      <x:c r="E41" s="8" t="str"/>
      <x:c r="F41" s="26" t="str"/>
      <x:c r="G41" s="23"/>
      <x:c r="H41" s="24"/>
      <x:c r="I41" s="24"/>
      <x:c r="J41" s="8" t="str">
        <x:v>Not checked</x:v>
      </x:c>
      <x:c r="K41" s="8" t="str"/>
      <x:c r="L41" s="8" t="str">
        <x:v>https://lookforwatersense.epa.gov/products/</x:v>
      </x:c>
      <x:c r="M41" s="23"/>
      <x:c r="N41" s="8" t="str">
        <x:v>Not checked</x:v>
      </x:c>
      <x:c r="O41" s="8" t="str"/>
      <x:c r="P41" s="8" t="str"/>
      <x:c r="Q41" s="24"/>
      <x:c r="R41" s="24"/>
      <x:c r="S41" s="8" t="str"/>
      <x:c r="T41" s="8" t="str"/>
      <x:c r="U41" s="8" t="str"/>
      <x:c r="V41" s="25"/>
      <x:c r="W41" s="24"/>
      <x:c r="X41" s="24"/>
    </x:row>
    <x:row r="42" ht="24" customHeight="1">
      <x:c r="A42" s="7" t="str">
        <x:v>K-33545-ASB</x:v>
      </x:c>
      <x:c r="B42" s="7" t="str">
        <x:v>Southerk 36-Inch Vanity with Quartz Top</x:v>
      </x:c>
      <x:c r="C42" s="7" t="str">
        <x:v>vanities</x:v>
      </x:c>
      <x:c r="D42" s="8" t="str">
        <x:v>Not checked</x:v>
      </x:c>
      <x:c r="E42" s="8" t="str"/>
      <x:c r="F42" s="26" t="str"/>
      <x:c r="G42" s="23"/>
      <x:c r="H42" s="24"/>
      <x:c r="I42" s="24"/>
      <x:c r="J42" s="8" t="str">
        <x:v>Not checked</x:v>
      </x:c>
      <x:c r="K42" s="8" t="str"/>
      <x:c r="L42" s="8" t="str">
        <x:v>https://lookforwatersense.epa.gov/products/</x:v>
      </x:c>
      <x:c r="M42" s="23"/>
      <x:c r="N42" s="8" t="str">
        <x:v>Not checked</x:v>
      </x:c>
      <x:c r="O42" s="8" t="str"/>
      <x:c r="P42" s="8" t="str"/>
      <x:c r="Q42" s="24"/>
      <x:c r="R42" s="24"/>
      <x:c r="S42" s="8" t="str"/>
      <x:c r="T42" s="8" t="str"/>
      <x:c r="U42" s="8" t="str"/>
      <x:c r="V42" s="25"/>
      <x:c r="W42" s="24"/>
      <x:c r="X42" s="24"/>
    </x:row>
    <x:row r="43" ht="24" customHeight="1">
      <x:c r="A43" s="7" t="str">
        <x:v>K-40640-BD1-WEK</x:v>
      </x:c>
      <x:c r="B43" s="7" t="str">
        <x:v>Kresla 48-Inch Freestanding Vanity</x:v>
      </x:c>
      <x:c r="C43" s="7" t="str">
        <x:v>vanities</x:v>
      </x:c>
      <x:c r="D43" s="8" t="str">
        <x:v>Not checked</x:v>
      </x:c>
      <x:c r="E43" s="8" t="str"/>
      <x:c r="F43" s="26" t="str"/>
      <x:c r="G43" s="23"/>
      <x:c r="H43" s="24"/>
      <x:c r="I43" s="24"/>
      <x:c r="J43" s="8" t="str">
        <x:v>Not checked</x:v>
      </x:c>
      <x:c r="K43" s="8" t="str"/>
      <x:c r="L43" s="8" t="str">
        <x:v>https://lookforwatersense.epa.gov/products/</x:v>
      </x:c>
      <x:c r="M43" s="23"/>
      <x:c r="N43" s="8" t="str">
        <x:v>Not checked</x:v>
      </x:c>
      <x:c r="O43" s="8" t="str"/>
      <x:c r="P43" s="8" t="str"/>
      <x:c r="Q43" s="24"/>
      <x:c r="R43" s="24"/>
      <x:c r="S43" s="8" t="str"/>
      <x:c r="T43" s="8" t="str"/>
      <x:c r="U43" s="8" t="str"/>
      <x:c r="V43" s="25"/>
      <x:c r="W43" s="24"/>
      <x:c r="X43" s="24"/>
    </x:row>
    <x:row r="44" ht="24" customHeight="1">
      <x:c r="A44" s="7" t="str">
        <x:v>K-CM99539-BD1-1WM</x:v>
      </x:c>
      <x:c r="B44" s="7" t="str">
        <x:v>Tailored 24-Inch Wall-Mount Floating Vanity</x:v>
      </x:c>
      <x:c r="C44" s="7" t="str">
        <x:v>vanities</x:v>
      </x:c>
      <x:c r="D44" s="8" t="str">
        <x:v>Not checked</x:v>
      </x:c>
      <x:c r="E44" s="8" t="str"/>
      <x:c r="F44" s="26" t="str"/>
      <x:c r="G44" s="23"/>
      <x:c r="H44" s="24"/>
      <x:c r="I44" s="24"/>
      <x:c r="J44" s="8" t="str">
        <x:v>Not checked</x:v>
      </x:c>
      <x:c r="K44" s="8" t="str"/>
      <x:c r="L44" s="8" t="str">
        <x:v>https://lookforwatersense.epa.gov/products/</x:v>
      </x:c>
      <x:c r="M44" s="23"/>
      <x:c r="N44" s="8" t="str">
        <x:v>Not checked</x:v>
      </x:c>
      <x:c r="O44" s="8" t="str"/>
      <x:c r="P44" s="8" t="str"/>
      <x:c r="Q44" s="24"/>
      <x:c r="R44" s="24"/>
      <x:c r="S44" s="8" t="str"/>
      <x:c r="T44" s="8" t="str"/>
      <x:c r="U44" s="8" t="str"/>
      <x:c r="V44" s="25"/>
      <x:c r="W44" s="24"/>
      <x:c r="X44" s="24"/>
    </x:row>
    <x:row r="45" ht="24" customHeight="1">
      <x:c r="A45" s="7" t="str">
        <x:v>K-39607-ASB-0</x:v>
      </x:c>
      <x:c r="B45" s="7" t="str">
        <x:v>Haddon 60-Inch Double Vanity with Marble Top</x:v>
      </x:c>
      <x:c r="C45" s="7" t="str">
        <x:v>vanities</x:v>
      </x:c>
      <x:c r="D45" s="8" t="str">
        <x:v>Not checked</x:v>
      </x:c>
      <x:c r="E45" s="8" t="str"/>
      <x:c r="F45" s="26" t="str"/>
      <x:c r="G45" s="23"/>
      <x:c r="H45" s="24"/>
      <x:c r="I45" s="24"/>
      <x:c r="J45" s="8" t="str">
        <x:v>Not checked</x:v>
      </x:c>
      <x:c r="K45" s="8" t="str"/>
      <x:c r="L45" s="8" t="str">
        <x:v>https://lookforwatersense.epa.gov/products/</x:v>
      </x:c>
      <x:c r="M45" s="23"/>
      <x:c r="N45" s="8" t="str">
        <x:v>Not checked</x:v>
      </x:c>
      <x:c r="O45" s="8" t="str"/>
      <x:c r="P45" s="8" t="str"/>
      <x:c r="Q45" s="24"/>
      <x:c r="R45" s="24"/>
      <x:c r="S45" s="8" t="str"/>
      <x:c r="T45" s="8" t="str"/>
      <x:c r="U45" s="8" t="str"/>
      <x:c r="V45" s="25"/>
      <x:c r="W45" s="24"/>
      <x:c r="X45" s="24"/>
    </x:row>
    <x:row r="46" ht="24" customHeight="1">
      <x:c r="A46" s="7" t="str">
        <x:v>K-1130-0</x:v>
      </x:c>
      <x:c r="B46" s="7" t="str">
        <x:v>Underscore 60 x 32 Drop-In Soaking Bathtub</x:v>
      </x:c>
      <x:c r="C46" s="7" t="str">
        <x:v>bathtubs</x:v>
      </x:c>
      <x:c r="D46" s="8" t="str">
        <x:v>Not checked</x:v>
      </x:c>
      <x:c r="E46" s="8" t="str"/>
      <x:c r="F46" s="26" t="str"/>
      <x:c r="G46" s="23"/>
      <x:c r="H46" s="24"/>
      <x:c r="I46" s="24"/>
      <x:c r="J46" s="8" t="str">
        <x:v>Not checked</x:v>
      </x:c>
      <x:c r="K46" s="8" t="str"/>
      <x:c r="L46" s="8" t="str">
        <x:v>https://lookforwatersense.epa.gov/products/</x:v>
      </x:c>
      <x:c r="M46" s="23"/>
      <x:c r="N46" s="8" t="str">
        <x:v>Not checked</x:v>
      </x:c>
      <x:c r="O46" s="8" t="str"/>
      <x:c r="P46" s="8" t="str"/>
      <x:c r="Q46" s="24"/>
      <x:c r="R46" s="24"/>
      <x:c r="S46" s="8" t="str"/>
      <x:c r="T46" s="8" t="str"/>
      <x:c r="U46" s="8" t="str"/>
      <x:c r="V46" s="25"/>
      <x:c r="W46" s="24"/>
      <x:c r="X46" s="24"/>
    </x:row>
    <x:row r="47" ht="24" customHeight="1">
      <x:c r="A47" s="7" t="str">
        <x:v>K-6367-0</x:v>
      </x:c>
      <x:c r="B47" s="7" t="str">
        <x:v>Stargaze 72 x 36 Freestanding Fluted Bathtub</x:v>
      </x:c>
      <x:c r="C47" s="7" t="str">
        <x:v>bathtubs</x:v>
      </x:c>
      <x:c r="D47" s="8" t="str">
        <x:v>Not checked</x:v>
      </x:c>
      <x:c r="E47" s="8" t="str"/>
      <x:c r="F47" s="26" t="str"/>
      <x:c r="G47" s="23"/>
      <x:c r="H47" s="24"/>
      <x:c r="I47" s="24"/>
      <x:c r="J47" s="8" t="str">
        <x:v>Not checked</x:v>
      </x:c>
      <x:c r="K47" s="8" t="str"/>
      <x:c r="L47" s="8" t="str">
        <x:v>https://lookforwatersense.epa.gov/products/</x:v>
      </x:c>
      <x:c r="M47" s="23"/>
      <x:c r="N47" s="8" t="str">
        <x:v>Not checked</x:v>
      </x:c>
      <x:c r="O47" s="8" t="str"/>
      <x:c r="P47" s="8" t="str"/>
      <x:c r="Q47" s="24"/>
      <x:c r="R47" s="24"/>
      <x:c r="S47" s="8" t="str"/>
      <x:c r="T47" s="8" t="str"/>
      <x:c r="U47" s="8" t="str"/>
      <x:c r="V47" s="25"/>
      <x:c r="W47" s="24"/>
      <x:c r="X47" s="24"/>
    </x:row>
    <x:row r="48" ht="24" customHeight="1">
      <x:c r="A48" s="7" t="str">
        <x:v>K-1123-LA-96</x:v>
      </x:c>
      <x:c r="B48" s="7" t="str">
        <x:v>Archer 60 x 32 Alcove Soaking Bathtub</x:v>
      </x:c>
      <x:c r="C48" s="7" t="str">
        <x:v>bathtubs</x:v>
      </x:c>
      <x:c r="D48" s="8" t="str">
        <x:v>Not checked</x:v>
      </x:c>
      <x:c r="E48" s="8" t="str"/>
      <x:c r="F48" s="26" t="str"/>
      <x:c r="G48" s="23"/>
      <x:c r="H48" s="24"/>
      <x:c r="I48" s="24"/>
      <x:c r="J48" s="8" t="str">
        <x:v>Not checked</x:v>
      </x:c>
      <x:c r="K48" s="8" t="str"/>
      <x:c r="L48" s="8" t="str">
        <x:v>https://lookforwatersense.epa.gov/products/</x:v>
      </x:c>
      <x:c r="M48" s="23"/>
      <x:c r="N48" s="8" t="str">
        <x:v>Not checked</x:v>
      </x:c>
      <x:c r="O48" s="8" t="str"/>
      <x:c r="P48" s="8" t="str"/>
      <x:c r="Q48" s="24"/>
      <x:c r="R48" s="24"/>
      <x:c r="S48" s="8" t="str"/>
      <x:c r="T48" s="8" t="str"/>
      <x:c r="U48" s="8" t="str"/>
      <x:c r="V48" s="25"/>
      <x:c r="W48" s="24"/>
      <x:c r="X48" s="24"/>
    </x:row>
    <x:row r="49" ht="24" customHeight="1">
      <x:c r="A49" s="7" t="str">
        <x:v>K-8332-0</x:v>
      </x:c>
      <x:c r="B49" s="7" t="str">
        <x:v>Memoirs 60 x 34 Lithocast Freestanding Bathtub</x:v>
      </x:c>
      <x:c r="C49" s="7" t="str">
        <x:v>bathtubs</x:v>
      </x:c>
      <x:c r="D49" s="8" t="str">
        <x:v>Not checked</x:v>
      </x:c>
      <x:c r="E49" s="8" t="str"/>
      <x:c r="F49" s="26" t="str"/>
      <x:c r="G49" s="23"/>
      <x:c r="H49" s="24"/>
      <x:c r="I49" s="24"/>
      <x:c r="J49" s="8" t="str">
        <x:v>Not checked</x:v>
      </x:c>
      <x:c r="K49" s="8" t="str"/>
      <x:c r="L49" s="8" t="str">
        <x:v>https://lookforwatersense.epa.gov/products/</x:v>
      </x:c>
      <x:c r="M49" s="23"/>
      <x:c r="N49" s="8" t="str">
        <x:v>Not checked</x:v>
      </x:c>
      <x:c r="O49" s="8" t="str"/>
      <x:c r="P49" s="8" t="str"/>
      <x:c r="Q49" s="24"/>
      <x:c r="R49" s="24"/>
      <x:c r="S49" s="8" t="str"/>
      <x:c r="T49" s="8" t="str"/>
      <x:c r="U49" s="8" t="str"/>
      <x:c r="V49" s="25"/>
      <x:c r="W49" s="24"/>
      <x:c r="X49" s="24"/>
    </x:row>
    <x:row r="50" ht="24" customHeight="1">
      <x:c r="A50" s="7" t="str">
        <x:v>K-24002-W1-0</x:v>
      </x:c>
      <x:c r="B50" s="7" t="str">
        <x:v>Sunstruck 60 x 34 Oval Freestanding Bathtub</x:v>
      </x:c>
      <x:c r="C50" s="7" t="str">
        <x:v>bathtubs</x:v>
      </x:c>
      <x:c r="D50" s="8" t="str">
        <x:v>Not checked</x:v>
      </x:c>
      <x:c r="E50" s="8" t="str"/>
      <x:c r="F50" s="26" t="str"/>
      <x:c r="G50" s="23"/>
      <x:c r="H50" s="24"/>
      <x:c r="I50" s="24"/>
      <x:c r="J50" s="8" t="str">
        <x:v>Not checked</x:v>
      </x:c>
      <x:c r="K50" s="8" t="str"/>
      <x:c r="L50" s="8" t="str">
        <x:v>https://lookforwatersense.epa.gov/products/</x:v>
      </x:c>
      <x:c r="M50" s="23"/>
      <x:c r="N50" s="8" t="str">
        <x:v>Not checked</x:v>
      </x:c>
      <x:c r="O50" s="8" t="str"/>
      <x:c r="P50" s="8" t="str"/>
      <x:c r="Q50" s="24"/>
      <x:c r="R50" s="24"/>
      <x:c r="S50" s="8" t="str"/>
      <x:c r="T50" s="8" t="str"/>
      <x:c r="U50" s="8" t="str"/>
      <x:c r="V50" s="25"/>
      <x:c r="W50" s="24"/>
      <x:c r="X50" s="24"/>
    </x:row>
    <x:row r="51" ht="24" customHeight="1">
      <x:c r="A51" s="7" t="str">
        <x:v>K-20201-LA-0</x:v>
      </x:c>
      <x:c r="B51" s="7" t="str">
        <x:v>Underscore 60 x 30 Alcove Soaking Bathtub</x:v>
      </x:c>
      <x:c r="C51" s="7" t="str">
        <x:v>bathtubs</x:v>
      </x:c>
      <x:c r="D51" s="8" t="str">
        <x:v>Not checked</x:v>
      </x:c>
      <x:c r="E51" s="8" t="str"/>
      <x:c r="F51" s="26" t="str"/>
      <x:c r="G51" s="23"/>
      <x:c r="H51" s="24"/>
      <x:c r="I51" s="24"/>
      <x:c r="J51" s="8" t="str">
        <x:v>Not checked</x:v>
      </x:c>
      <x:c r="K51" s="8" t="str"/>
      <x:c r="L51" s="8" t="str">
        <x:v>https://lookforwatersense.epa.gov/products/</x:v>
      </x:c>
      <x:c r="M51" s="23"/>
      <x:c r="N51" s="8" t="str">
        <x:v>Not checked</x:v>
      </x:c>
      <x:c r="O51" s="8" t="str"/>
      <x:c r="P51" s="8" t="str"/>
      <x:c r="Q51" s="24"/>
      <x:c r="R51" s="24"/>
      <x:c r="S51" s="8" t="str"/>
      <x:c r="T51" s="8" t="str"/>
      <x:c r="U51" s="8" t="str"/>
      <x:c r="V51" s="25"/>
      <x:c r="W51" s="24"/>
      <x:c r="X51" s="24"/>
    </x:row>
    <x:row r="52" ht="24" customHeight="1">
      <x:c r="A52" s="7" t="str">
        <x:v>K-722-0</x:v>
      </x:c>
      <x:c r="B52" s="7" t="str">
        <x:v>Memoirs 60 x 34 Cast Iron Alcove Bathtub</x:v>
      </x:c>
      <x:c r="C52" s="7" t="str">
        <x:v>bathtubs</x:v>
      </x:c>
      <x:c r="D52" s="8" t="str">
        <x:v>Not checked</x:v>
      </x:c>
      <x:c r="E52" s="8" t="str"/>
      <x:c r="F52" s="26" t="str"/>
      <x:c r="G52" s="23"/>
      <x:c r="H52" s="24"/>
      <x:c r="I52" s="24"/>
      <x:c r="J52" s="8" t="str">
        <x:v>Not checked</x:v>
      </x:c>
      <x:c r="K52" s="8" t="str"/>
      <x:c r="L52" s="8" t="str">
        <x:v>https://lookforwatersense.epa.gov/products/</x:v>
      </x:c>
      <x:c r="M52" s="23"/>
      <x:c r="N52" s="8" t="str">
        <x:v>Not checked</x:v>
      </x:c>
      <x:c r="O52" s="8" t="str"/>
      <x:c r="P52" s="8" t="str"/>
      <x:c r="Q52" s="24"/>
      <x:c r="R52" s="24"/>
      <x:c r="S52" s="8" t="str"/>
      <x:c r="T52" s="8" t="str"/>
      <x:c r="U52" s="8" t="str"/>
      <x:c r="V52" s="25"/>
      <x:c r="W52" s="24"/>
      <x:c r="X52" s="24"/>
    </x:row>
    <x:row r="53" ht="24" customHeight="1">
      <x:c r="A53" s="7" t="str">
        <x:v>K-25831-0</x:v>
      </x:c>
      <x:c r="B53" s="7" t="str">
        <x:v>Avec 60 x 32 Bathtub</x:v>
      </x:c>
      <x:c r="C53" s="7" t="str">
        <x:v>bathtubs</x:v>
      </x:c>
      <x:c r="D53" s="8" t="str">
        <x:v>Not checked</x:v>
      </x:c>
      <x:c r="E53" s="8" t="str"/>
      <x:c r="F53" s="26" t="str"/>
      <x:c r="G53" s="23"/>
      <x:c r="H53" s="24"/>
      <x:c r="I53" s="24"/>
      <x:c r="J53" s="8" t="str">
        <x:v>Not checked</x:v>
      </x:c>
      <x:c r="K53" s="8" t="str"/>
      <x:c r="L53" s="8" t="str">
        <x:v>https://lookforwatersense.epa.gov/products/</x:v>
      </x:c>
      <x:c r="M53" s="23"/>
      <x:c r="N53" s="8" t="str">
        <x:v>Not checked</x:v>
      </x:c>
      <x:c r="O53" s="8" t="str"/>
      <x:c r="P53" s="8" t="str"/>
      <x:c r="Q53" s="24"/>
      <x:c r="R53" s="24"/>
      <x:c r="S53" s="8" t="str"/>
      <x:c r="T53" s="8" t="str"/>
      <x:c r="U53" s="8" t="str"/>
      <x:c r="V53" s="25"/>
      <x:c r="W53" s="24"/>
      <x:c r="X53" s="24"/>
    </x:row>
    <x:row r="54" ht="24" customHeight="1">
      <x:c r="A54" s="7" t="str">
        <x:v>K-710-P5-0</x:v>
      </x:c>
      <x:c r="B54" s="7" t="str">
        <x:v>Iron Works 66 x 36 Clawfoot Cast Iron Bathtub</x:v>
      </x:c>
      <x:c r="C54" s="7" t="str">
        <x:v>bathtubs</x:v>
      </x:c>
      <x:c r="D54" s="8" t="str">
        <x:v>Not checked</x:v>
      </x:c>
      <x:c r="E54" s="8" t="str"/>
      <x:c r="F54" s="26" t="str"/>
      <x:c r="G54" s="23"/>
      <x:c r="H54" s="24"/>
      <x:c r="I54" s="24"/>
      <x:c r="J54" s="8" t="str">
        <x:v>Not checked</x:v>
      </x:c>
      <x:c r="K54" s="8" t="str"/>
      <x:c r="L54" s="8" t="str">
        <x:v>https://lookforwatersense.epa.gov/products/</x:v>
      </x:c>
      <x:c r="M54" s="23"/>
      <x:c r="N54" s="8" t="str">
        <x:v>Not checked</x:v>
      </x:c>
      <x:c r="O54" s="8" t="str"/>
      <x:c r="P54" s="8" t="str"/>
      <x:c r="Q54" s="24"/>
      <x:c r="R54" s="24"/>
      <x:c r="S54" s="8" t="str"/>
      <x:c r="T54" s="8" t="str"/>
      <x:c r="U54" s="8" t="str"/>
      <x:c r="V54" s="25"/>
      <x:c r="W54" s="24"/>
      <x:c r="X54" s="24"/>
    </x:row>
    <x:row r="55" ht="24" customHeight="1">
      <x:c r="A55" s="7" t="str">
        <x:v>K-1800-0</x:v>
      </x:c>
      <x:c r="B55" s="7" t="str">
        <x:v>Abrazo 66 x 31 Lithocast Freestanding Bathtub</x:v>
      </x:c>
      <x:c r="C55" s="7" t="str">
        <x:v>bathtubs</x:v>
      </x:c>
      <x:c r="D55" s="8" t="str">
        <x:v>Not checked</x:v>
      </x:c>
      <x:c r="E55" s="8" t="str"/>
      <x:c r="F55" s="26" t="str"/>
      <x:c r="G55" s="23"/>
      <x:c r="H55" s="24"/>
      <x:c r="I55" s="24"/>
      <x:c r="J55" s="8" t="str">
        <x:v>Not checked</x:v>
      </x:c>
      <x:c r="K55" s="8" t="str"/>
      <x:c r="L55" s="8" t="str">
        <x:v>https://lookforwatersense.epa.gov/products/</x:v>
      </x:c>
      <x:c r="M55" s="23"/>
      <x:c r="N55" s="8" t="str">
        <x:v>Not checked</x:v>
      </x:c>
      <x:c r="O55" s="8" t="str"/>
      <x:c r="P55" s="8" t="str"/>
      <x:c r="Q55" s="24"/>
      <x:c r="R55" s="24"/>
      <x:c r="S55" s="8" t="str"/>
      <x:c r="T55" s="8" t="str"/>
      <x:c r="U55" s="8" t="str"/>
      <x:c r="V55" s="25"/>
      <x:c r="W55" s="24"/>
      <x:c r="X55" s="24"/>
    </x:row>
  </x:sheetData>
  <x:pageMargins left="0.7" right="0.7" top="0.75" bottom="0.75" header="0.3" footer="0.3"/>
  <x:tableParts count="1">
    <x:tablePart xmlns:r="http://schemas.openxmlformats.org/officeDocument/2006/relationships" r:id="Rc34c8e6a88e64ad9"/>
  </x:tableParts>
</x:worksheet>
</file>

<file path=xl/worksheets/sheet5.xml><?xml version="1.0" encoding="utf-8"?>
<x:worksheet xmlns:x="http://schemas.openxmlformats.org/spreadsheetml/2006/main">
  <x:sheetPr>
    <x:tabColor rgb="FFC58B2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0" hidden="0" customWidth="1"/>
    <x:col min="4" max="4" width="85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Scenario Inputs</x:v>
      </x:c>
      <x:c r="B2" s="2"/>
      <x:c r="C2" s="2"/>
      <x:c r="D2" s="2"/>
    </x:row>
    <x:row r="3">
      <x:c r="A3" s="4" t="str">
        <x:v>Yellow cells are editable assumptions. Defaults are illustrative EPA assumptions where documented; change them to match the user’s home and label estimates.</x:v>
      </x:c>
      <x:c r="B3" s="4"/>
      <x:c r="C3" s="4"/>
      <x:c r="D3" s="4"/>
    </x:row>
    <x:row r="5" ht="30" customHeight="1">
      <x:c r="A5" s="5" t="str">
        <x:v>Assumption</x:v>
      </x:c>
      <x:c r="B5" s="5" t="str">
        <x:v>Value</x:v>
      </x:c>
      <x:c r="C5" s="5" t="str">
        <x:v>Unit</x:v>
      </x:c>
      <x:c r="D5" s="5" t="str">
        <x:v>Source / note</x:v>
      </x:c>
    </x:row>
    <x:row r="6" ht="30" customHeight="1">
      <x:c r="A6" t="str">
        <x:v>Household occupants</x:v>
      </x:c>
      <x:c r="B6" s="28" t="n">
        <x:v>2.6</x:v>
      </x:c>
      <x:c r="C6" t="str">
        <x:v>people</x:v>
      </x:c>
      <x:c r="D6" s="14" t="str">
        <x:v>EPA WaterSense calculator suggests 2.6 when household size is unknown.</x:v>
      </x:c>
    </x:row>
    <x:row r="7" ht="30" customHeight="1">
      <x:c r="A7" t="str">
        <x:v>Days per year</x:v>
      </x:c>
      <x:c r="B7" s="27" t="n">
        <x:v>365</x:v>
      </x:c>
      <x:c r="C7" t="str">
        <x:v>days</x:v>
      </x:c>
      <x:c r="D7" s="14" t="str">
        <x:v>Calendar assumption.</x:v>
      </x:c>
    </x:row>
    <x:row r="8" ht="30" customHeight="1">
      <x:c r="A8" t="str">
        <x:v>Existing showerhead flow</x:v>
      </x:c>
      <x:c r="B8" s="29" t="n">
        <x:v>2.22</x:v>
      </x:c>
      <x:c r="C8" t="str">
        <x:v>GPM</x:v>
      </x:c>
      <x:c r="D8" s="14" t="str">
        <x:v>EPA WaterSense showerhead supporting statement average actual existing flow.</x:v>
      </x:c>
    </x:row>
    <x:row r="9" ht="30" customHeight="1">
      <x:c r="A9" t="str">
        <x:v>Minutes per shower</x:v>
      </x:c>
      <x:c r="B9" s="29" t="n">
        <x:v>8.2</x:v>
      </x:c>
      <x:c r="C9" t="str">
        <x:v>min</x:v>
      </x:c>
      <x:c r="D9" s="14" t="str">
        <x:v>EPA supporting statement assumption.</x:v>
      </x:c>
    </x:row>
    <x:row r="10" ht="30" customHeight="1">
      <x:c r="A10" t="str">
        <x:v>Showers per person per day</x:v>
      </x:c>
      <x:c r="B10" s="29" t="n">
        <x:v>0.67</x:v>
      </x:c>
      <x:c r="C10" t="str">
        <x:v>showers/day</x:v>
      </x:c>
      <x:c r="D10" s="14" t="str">
        <x:v>EPA supporting statement assumption.</x:v>
      </x:c>
    </x:row>
    <x:row r="11" ht="30" customHeight="1">
      <x:c r="A11" t="str">
        <x:v>Existing toilet flush volume</x:v>
      </x:c>
      <x:c r="B11" s="27"/>
      <x:c r="C11" t="str">
        <x:v>GPF</x:v>
      </x:c>
      <x:c r="D11" s="14" t="str">
        <x:v>User input: select/estimate existing toilet baseline; EPA calculator varies by installation age.</x:v>
      </x:c>
    </x:row>
    <x:row r="12" ht="30" customHeight="1">
      <x:c r="A12" t="str">
        <x:v>Toilet flushes per person per day</x:v>
      </x:c>
      <x:c r="B12" s="27" t="n">
        <x:v>5.05</x:v>
      </x:c>
      <x:c r="C12" t="str">
        <x:v>flushes/day</x:v>
      </x:c>
      <x:c r="D12" s="14" t="str">
        <x:v>EPA WaterSense calculator assumption.</x:v>
      </x:c>
    </x:row>
    <x:row r="13" ht="30" customHeight="1">
      <x:c r="A13" t="str">
        <x:v>Existing faucet flow</x:v>
      </x:c>
      <x:c r="B13" s="27"/>
      <x:c r="C13" t="str">
        <x:v>GPM</x:v>
      </x:c>
      <x:c r="D13" s="14" t="str">
        <x:v>User input: measured or documented baseline.</x:v>
      </x:c>
    </x:row>
    <x:row r="14" ht="30" customHeight="1">
      <x:c r="A14" t="str">
        <x:v>Faucet use minutes per person per day</x:v>
      </x:c>
      <x:c r="B14" s="30"/>
      <x:c r="C14" t="str">
        <x:v>minutes/day</x:v>
      </x:c>
      <x:c r="D14" s="14" t="str">
        <x:v>User input; define usage scenario.</x:v>
      </x:c>
    </x:row>
    <x:row r="15" ht="30" customHeight="1">
      <x:c r="A15" t="str">
        <x:v>Hot-water fraction</x:v>
      </x:c>
      <x:c r="B15" s="30" t="n">
        <x:v>0.662</x:v>
      </x:c>
      <x:c r="C15" t="str">
        <x:v>share</x:v>
      </x:c>
      <x:c r="D15" s="14" t="str">
        <x:v>EPA showerhead guidance assumption; relevant only to hot-water fixtures.</x:v>
      </x:c>
    </x:row>
    <x:row r="16" ht="30" customHeight="1">
      <x:c r="A16" t="str">
        <x:v>Electric water heating intensity</x:v>
      </x:c>
      <x:c r="B16" s="30" t="n">
        <x:v>0.183</x:v>
      </x:c>
      <x:c r="C16" t="str">
        <x:v>kWh/gal</x:v>
      </x:c>
      <x:c r="D16" s="14" t="str">
        <x:v>EPA bathroom efficiency guide conversion factor; adjust for heater efficiency if known.</x:v>
      </x:c>
    </x:row>
    <x:row r="17" ht="30" customHeight="1">
      <x:c r="A17" t="str">
        <x:v>Water heater efficiency</x:v>
      </x:c>
      <x:c r="B17" s="30" t="n">
        <x:v>1</x:v>
      </x:c>
      <x:c r="C17" t="str">
        <x:v>fraction</x:v>
      </x:c>
      <x:c r="D17" s="14" t="str">
        <x:v>User input; use actual efficiency where known.</x:v>
      </x:c>
    </x:row>
    <x:row r="18" ht="30" customHeight="1">
      <x:c r="A18" t="str">
        <x:v>Water + sewer cost</x:v>
      </x:c>
      <x:c r="B18" s="30"/>
      <x:c r="C18" t="str">
        <x:v>USD/gal</x:v>
      </x:c>
      <x:c r="D18" s="14" t="str">
        <x:v>User input from local utility bill; leave blank to suppress dollar estimates.</x:v>
      </x:c>
    </x:row>
    <x:row r="19" ht="30" customHeight="1">
      <x:c r="A19" t="str">
        <x:v>Grid emissions factor</x:v>
      </x:c>
      <x:c r="B19" s="30"/>
      <x:c r="C19" t="str">
        <x:v>kg CO2e/kWh</x:v>
      </x:c>
      <x:c r="D19" s="14" t="str">
        <x:v>User input from an appropriate regional electricity source; leave blank if unknown.</x:v>
      </x:c>
    </x:row>
  </x:sheetData>
  <x:pageMargins left="0.7" right="0.7" top="0.75" bottom="0.75" header="0.3" footer="0.3"/>
  <x:tableParts count="1">
    <x:tablePart xmlns:r="http://schemas.openxmlformats.org/officeDocument/2006/relationships" r:id="Rcb3f6600f38941e5"/>
  </x:tableParts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24" hidden="0" customWidth="1"/>
    <x:col min="7" max="7" width="30" hidden="0" customWidth="1"/>
    <x:col min="8" max="8" width="30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Illustrative Annual Eco Estimates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Calculations are per product, not a combined-bathroom total. Results remain blank unless exact product data is marked Verified and the required inputs exist.</x:v>
      </x:c>
      <x:c r="B3" s="4"/>
      <x:c r="C3" s="4"/>
      <x:c r="D3" s="4"/>
      <x:c r="E3" s="4"/>
      <x:c r="F3" s="4"/>
      <x:c r="G3" s="4"/>
      <x:c r="H3" s="4"/>
    </x:row>
    <x:row r="5" ht="34" customHeight="1">
      <x:c r="A5" s="6" t="str">
        <x:v>App model ID</x:v>
      </x:c>
      <x:c r="B5" s="6" t="str">
        <x:v>Product</x:v>
      </x:c>
      <x:c r="C5" s="6" t="str">
        <x:v>Category</x:v>
      </x:c>
      <x:c r="D5" s="6" t="str">
        <x:v>Data status</x:v>
      </x:c>
      <x:c r="E5" s="6" t="str">
        <x:v>Verified target rate (GPM)</x:v>
      </x:c>
      <x:c r="F5" s="6" t="str">
        <x:v>Verified target flush (GPF)</x:v>
      </x:c>
      <x:c r="G5" s="6" t="str">
        <x:v>Water saved (gal/year)</x:v>
      </x:c>
      <x:c r="H5" s="6" t="str">
        <x:v>Water-heating energy saved (kWh/year)</x:v>
      </x:c>
    </x:row>
    <x:row r="6" ht="24" customHeight="1">
      <x:c r="A6" s="7" t="str">
        <x:f>'Verified Data'!A6</x:f>
        <x:v>K-14402-4A-BL</x:v>
      </x:c>
      <x:c r="B6" s="7" t="str">
        <x:f>'Verified Data'!B6</x:f>
        <x:v>Kohler Purist Single-Handle Bathroom Faucet</x:v>
      </x:c>
      <x:c r="C6" s="7" t="str">
        <x:f>'Verified Data'!C6</x:f>
        <x:v>faucets</x:v>
      </x:c>
      <x:c r="D6" s="8" t="str">
        <x:f>IF('Verified Data'!D6="Verified","Verified product record","Not verified — estimate withheld")</x:f>
        <x:v>Not verified — estimate withheld</x:v>
      </x:c>
      <x:c r="E6" s="22" t="n">
        <x:f>'Verified Data'!H6</x:f>
        <x:v>0</x:v>
      </x:c>
      <x:c r="F6" s="22" t="n">
        <x:f>'Verified Data'!I6</x:f>
        <x:v>0</x:v>
      </x:c>
      <x:c r="G6" s="32" t="str">
        <x:f>IF(OR('Verified Data'!$D6&lt;&gt;"Verified",'Verified Data'!$G6=""),"",IF(C6="showers",IF(OR(E6="",'Scenario Inputs'!$B$8=""),"",MAX(0,'Scenario Inputs'!$B$8-E6)*'Scenario Inputs'!$B$9*'Scenario Inputs'!$B$10*'Scenario Inputs'!$B$6*'Scenario Inputs'!$B$7),IF(C6="toilets",IF(OR(F6="",'Scenario Inputs'!$B$11=""),"",MAX(0,'Scenario Inputs'!$B$11-F6)*'Scenario Inputs'!$B$12*'Scenario Inputs'!$B$6*'Scenario Inputs'!$B$7),IF(C6="faucets",IF(OR(E6="",'Scenario Inputs'!$B$13="",'Scenario Inputs'!$B$14=""),"",MAX(0,'Scenario Inputs'!$B$13-E6)*'Scenario Inputs'!$B$14*'Scenario Inputs'!$B$6*'Scenario Inputs'!$B$7),""))))</x:f>
      </x:c>
      <x:c r="H6" s="32" t="str">
        <x:f>IF(OR(G6="",G6=0,'Scenario Inputs'!$B$15="",'Scenario Inputs'!$B$16="",'Scenario Inputs'!$B$17=""),"",IF(C6="toilets","",G6*'Scenario Inputs'!$B$15*'Scenario Inputs'!$B$16/'Scenario Inputs'!$B$17))</x:f>
      </x:c>
    </x:row>
    <x:row r="7" ht="24" customHeight="1">
      <x:c r="A7" s="7" t="str">
        <x:f>'Verified Data'!A7</x:f>
        <x:v>K-73159IN-7-CP</x:v>
      </x:c>
      <x:c r="B7" s="7" t="str">
        <x:f>'Verified Data'!B7</x:f>
        <x:v>Kohler Composed Tall Single-Handle Vessel Faucet</x:v>
      </x:c>
      <x:c r="C7" s="7" t="str">
        <x:f>'Verified Data'!C7</x:f>
        <x:v>faucets</x:v>
      </x:c>
      <x:c r="D7" s="8" t="str">
        <x:f>IF('Verified Data'!D7="Verified","Verified product record","Not verified — estimate withheld")</x:f>
        <x:v>Not verified — estimate withheld</x:v>
      </x:c>
      <x:c r="E7" s="22" t="n">
        <x:f>'Verified Data'!H7</x:f>
        <x:v>0</x:v>
      </x:c>
      <x:c r="F7" s="22" t="n">
        <x:f>'Verified Data'!I7</x:f>
        <x:v>0</x:v>
      </x:c>
      <x:c r="G7" s="32" t="str">
        <x:f>IF(OR('Verified Data'!$D7&lt;&gt;"Verified",'Verified Data'!$G7=""),"",IF(C7="showers",IF(OR(E7="",'Scenario Inputs'!$B$8=""),"",MAX(0,'Scenario Inputs'!$B$8-E7)*'Scenario Inputs'!$B$9*'Scenario Inputs'!$B$10*'Scenario Inputs'!$B$6*'Scenario Inputs'!$B$7),IF(C7="toilets",IF(OR(F7="",'Scenario Inputs'!$B$11=""),"",MAX(0,'Scenario Inputs'!$B$11-F7)*'Scenario Inputs'!$B$12*'Scenario Inputs'!$B$6*'Scenario Inputs'!$B$7),IF(C7="faucets",IF(OR(E7="",'Scenario Inputs'!$B$13="",'Scenario Inputs'!$B$14=""),"",MAX(0,'Scenario Inputs'!$B$13-E7)*'Scenario Inputs'!$B$14*'Scenario Inputs'!$B$6*'Scenario Inputs'!$B$7),""))))</x:f>
      </x:c>
      <x:c r="H7" s="32" t="str">
        <x:f>IF(OR(G7="",G7=0,'Scenario Inputs'!$B$15="",'Scenario Inputs'!$B$16="",'Scenario Inputs'!$B$17=""),"",IF(C7="toilets","",G7*'Scenario Inputs'!$B$15*'Scenario Inputs'!$B$16/'Scenario Inputs'!$B$17))</x:f>
      </x:c>
    </x:row>
    <x:row r="8" ht="24" customHeight="1">
      <x:c r="A8" s="7" t="str">
        <x:f>'Verified Data'!A8</x:f>
        <x:v>K-72759-BN</x:v>
      </x:c>
      <x:c r="B8" s="7" t="str">
        <x:f>'Verified Data'!B8</x:f>
        <x:v>Kohler Artifacts Widespread Bathroom Faucet</x:v>
      </x:c>
      <x:c r="C8" s="7" t="str">
        <x:f>'Verified Data'!C8</x:f>
        <x:v>faucets</x:v>
      </x:c>
      <x:c r="D8" s="8" t="str">
        <x:f>IF('Verified Data'!D8="Verified","Verified product record","Not verified — estimate withheld")</x:f>
        <x:v>Not verified — estimate withheld</x:v>
      </x:c>
      <x:c r="E8" s="22" t="n">
        <x:f>'Verified Data'!H8</x:f>
        <x:v>0</x:v>
      </x:c>
      <x:c r="F8" s="22" t="n">
        <x:f>'Verified Data'!I8</x:f>
        <x:v>0</x:v>
      </x:c>
      <x:c r="G8" s="32" t="str">
        <x:f>IF(OR('Verified Data'!$D8&lt;&gt;"Verified",'Verified Data'!$G8=""),"",IF(C8="showers",IF(OR(E8="",'Scenario Inputs'!$B$8=""),"",MAX(0,'Scenario Inputs'!$B$8-E8)*'Scenario Inputs'!$B$9*'Scenario Inputs'!$B$10*'Scenario Inputs'!$B$6*'Scenario Inputs'!$B$7),IF(C8="toilets",IF(OR(F8="",'Scenario Inputs'!$B$11=""),"",MAX(0,'Scenario Inputs'!$B$11-F8)*'Scenario Inputs'!$B$12*'Scenario Inputs'!$B$6*'Scenario Inputs'!$B$7),IF(C8="faucets",IF(OR(E8="",'Scenario Inputs'!$B$13="",'Scenario Inputs'!$B$14=""),"",MAX(0,'Scenario Inputs'!$B$13-E8)*'Scenario Inputs'!$B$14*'Scenario Inputs'!$B$6*'Scenario Inputs'!$B$7),""))))</x:f>
      </x:c>
      <x:c r="H8" s="32" t="str">
        <x:f>IF(OR(G8="",G8=0,'Scenario Inputs'!$B$15="",'Scenario Inputs'!$B$16="",'Scenario Inputs'!$B$17=""),"",IF(C8="toilets","",G8*'Scenario Inputs'!$B$15*'Scenario Inputs'!$B$16/'Scenario Inputs'!$B$17))</x:f>
      </x:c>
    </x:row>
    <x:row r="9" ht="24" customHeight="1">
      <x:c r="A9" s="7" t="str">
        <x:f>'Verified Data'!A9</x:f>
        <x:v>K-23472IN-4-CP</x:v>
      </x:c>
      <x:c r="B9" s="7" t="str">
        <x:f>'Verified Data'!B9</x:f>
        <x:v>Kohler Parallel Single-Handle Bathroom Faucet</x:v>
      </x:c>
      <x:c r="C9" s="7" t="str">
        <x:f>'Verified Data'!C9</x:f>
        <x:v>faucets</x:v>
      </x:c>
      <x:c r="D9" s="8" t="str">
        <x:f>IF('Verified Data'!D9="Verified","Verified product record","Not verified — estimate withheld")</x:f>
        <x:v>Not verified — estimate withheld</x:v>
      </x:c>
      <x:c r="E9" s="22" t="n">
        <x:f>'Verified Data'!H9</x:f>
        <x:v>0</x:v>
      </x:c>
      <x:c r="F9" s="22" t="n">
        <x:f>'Verified Data'!I9</x:f>
        <x:v>0</x:v>
      </x:c>
      <x:c r="G9" s="32" t="str">
        <x:f>IF(OR('Verified Data'!$D9&lt;&gt;"Verified",'Verified Data'!$G9=""),"",IF(C9="showers",IF(OR(E9="",'Scenario Inputs'!$B$8=""),"",MAX(0,'Scenario Inputs'!$B$8-E9)*'Scenario Inputs'!$B$9*'Scenario Inputs'!$B$10*'Scenario Inputs'!$B$6*'Scenario Inputs'!$B$7),IF(C9="toilets",IF(OR(F9="",'Scenario Inputs'!$B$11=""),"",MAX(0,'Scenario Inputs'!$B$11-F9)*'Scenario Inputs'!$B$12*'Scenario Inputs'!$B$6*'Scenario Inputs'!$B$7),IF(C9="faucets",IF(OR(E9="",'Scenario Inputs'!$B$13="",'Scenario Inputs'!$B$14=""),"",MAX(0,'Scenario Inputs'!$B$13-E9)*'Scenario Inputs'!$B$14*'Scenario Inputs'!$B$6*'Scenario Inputs'!$B$7),""))))</x:f>
      </x:c>
      <x:c r="H9" s="32" t="str">
        <x:f>IF(OR(G9="",G9=0,'Scenario Inputs'!$B$15="",'Scenario Inputs'!$B$16="",'Scenario Inputs'!$B$17=""),"",IF(C9="toilets","",G9*'Scenario Inputs'!$B$15*'Scenario Inputs'!$B$16/'Scenario Inputs'!$B$17))</x:f>
      </x:c>
    </x:row>
    <x:row r="10" ht="24" customHeight="1">
      <x:c r="A10" s="7" t="str">
        <x:f>'Verified Data'!A10</x:f>
        <x:v>K-27485IN-4-CP</x:v>
      </x:c>
      <x:c r="B10" s="7" t="str">
        <x:f>'Verified Data'!B10</x:f>
        <x:v>Kohler Fore Line Single-Handle Bathroom Faucet</x:v>
      </x:c>
      <x:c r="C10" s="7" t="str">
        <x:f>'Verified Data'!C10</x:f>
        <x:v>faucets</x:v>
      </x:c>
      <x:c r="D10" s="8" t="str">
        <x:f>IF('Verified Data'!D10="Verified","Verified product record","Not verified — estimate withheld")</x:f>
        <x:v>Not verified — estimate withheld</x:v>
      </x:c>
      <x:c r="E10" s="22" t="n">
        <x:f>'Verified Data'!H10</x:f>
        <x:v>0</x:v>
      </x:c>
      <x:c r="F10" s="22" t="n">
        <x:f>'Verified Data'!I10</x:f>
        <x:v>0</x:v>
      </x:c>
      <x:c r="G10" s="32" t="str">
        <x:f>IF(OR('Verified Data'!$D10&lt;&gt;"Verified",'Verified Data'!$G10=""),"",IF(C10="showers",IF(OR(E10="",'Scenario Inputs'!$B$8=""),"",MAX(0,'Scenario Inputs'!$B$8-E10)*'Scenario Inputs'!$B$9*'Scenario Inputs'!$B$10*'Scenario Inputs'!$B$6*'Scenario Inputs'!$B$7),IF(C10="toilets",IF(OR(F10="",'Scenario Inputs'!$B$11=""),"",MAX(0,'Scenario Inputs'!$B$11-F10)*'Scenario Inputs'!$B$12*'Scenario Inputs'!$B$6*'Scenario Inputs'!$B$7),IF(C10="faucets",IF(OR(E10="",'Scenario Inputs'!$B$13="",'Scenario Inputs'!$B$14=""),"",MAX(0,'Scenario Inputs'!$B$13-E10)*'Scenario Inputs'!$B$14*'Scenario Inputs'!$B$6*'Scenario Inputs'!$B$7),""))))</x:f>
      </x:c>
      <x:c r="H10" s="32" t="str">
        <x:f>IF(OR(G10="",G10=0,'Scenario Inputs'!$B$15="",'Scenario Inputs'!$B$16="",'Scenario Inputs'!$B$17=""),"",IF(C10="toilets","",G10*'Scenario Inputs'!$B$15*'Scenario Inputs'!$B$16/'Scenario Inputs'!$B$17))</x:f>
      </x:c>
    </x:row>
    <x:row r="11" ht="24" customHeight="1">
      <x:c r="A11" s="7" t="str">
        <x:f>'Verified Data'!A11</x:f>
        <x:v>K-23967IN-4ND-CP</x:v>
      </x:c>
      <x:c r="B11" s="7" t="str">
        <x:f>'Verified Data'!B11</x:f>
        <x:v>Kohler Vive Tall Single-Handle Bathroom Faucet</x:v>
      </x:c>
      <x:c r="C11" s="7" t="str">
        <x:f>'Verified Data'!C11</x:f>
        <x:v>faucets</x:v>
      </x:c>
      <x:c r="D11" s="8" t="str">
        <x:f>IF('Verified Data'!D11="Verified","Verified product record","Not verified — estimate withheld")</x:f>
        <x:v>Not verified — estimate withheld</x:v>
      </x:c>
      <x:c r="E11" s="22" t="n">
        <x:f>'Verified Data'!H11</x:f>
        <x:v>0</x:v>
      </x:c>
      <x:c r="F11" s="22" t="n">
        <x:f>'Verified Data'!I11</x:f>
        <x:v>0</x:v>
      </x:c>
      <x:c r="G11" s="32" t="str">
        <x:f>IF(OR('Verified Data'!$D11&lt;&gt;"Verified",'Verified Data'!$G11=""),"",IF(C11="showers",IF(OR(E11="",'Scenario Inputs'!$B$8=""),"",MAX(0,'Scenario Inputs'!$B$8-E11)*'Scenario Inputs'!$B$9*'Scenario Inputs'!$B$10*'Scenario Inputs'!$B$6*'Scenario Inputs'!$B$7),IF(C11="toilets",IF(OR(F11="",'Scenario Inputs'!$B$11=""),"",MAX(0,'Scenario Inputs'!$B$11-F11)*'Scenario Inputs'!$B$12*'Scenario Inputs'!$B$6*'Scenario Inputs'!$B$7),IF(C11="faucets",IF(OR(E11="",'Scenario Inputs'!$B$13="",'Scenario Inputs'!$B$14=""),"",MAX(0,'Scenario Inputs'!$B$13-E11)*'Scenario Inputs'!$B$14*'Scenario Inputs'!$B$6*'Scenario Inputs'!$B$7),""))))</x:f>
      </x:c>
      <x:c r="H11" s="32" t="str">
        <x:f>IF(OR(G11="",G11=0,'Scenario Inputs'!$B$15="",'Scenario Inputs'!$B$16="",'Scenario Inputs'!$B$17=""),"",IF(C11="toilets","",G11*'Scenario Inputs'!$B$15*'Scenario Inputs'!$B$16/'Scenario Inputs'!$B$17))</x:f>
      </x:c>
    </x:row>
    <x:row r="12" ht="24" customHeight="1">
      <x:c r="A12" s="7" t="str">
        <x:f>'Verified Data'!A12</x:f>
        <x:v>K-14660-4-CP</x:v>
      </x:c>
      <x:c r="B12" s="7" t="str">
        <x:f>'Verified Data'!B12</x:f>
        <x:v>Kohler Loure Single-Handle Bathroom Faucet</x:v>
      </x:c>
      <x:c r="C12" s="7" t="str">
        <x:f>'Verified Data'!C12</x:f>
        <x:v>faucets</x:v>
      </x:c>
      <x:c r="D12" s="8" t="str">
        <x:f>IF('Verified Data'!D12="Verified","Verified product record","Not verified — estimate withheld")</x:f>
        <x:v>Not verified — estimate withheld</x:v>
      </x:c>
      <x:c r="E12" s="22" t="n">
        <x:f>'Verified Data'!H12</x:f>
        <x:v>0</x:v>
      </x:c>
      <x:c r="F12" s="22" t="n">
        <x:f>'Verified Data'!I12</x:f>
        <x:v>0</x:v>
      </x:c>
      <x:c r="G12" s="32" t="str">
        <x:f>IF(OR('Verified Data'!$D12&lt;&gt;"Verified",'Verified Data'!$G12=""),"",IF(C12="showers",IF(OR(E12="",'Scenario Inputs'!$B$8=""),"",MAX(0,'Scenario Inputs'!$B$8-E12)*'Scenario Inputs'!$B$9*'Scenario Inputs'!$B$10*'Scenario Inputs'!$B$6*'Scenario Inputs'!$B$7),IF(C12="toilets",IF(OR(F12="",'Scenario Inputs'!$B$11=""),"",MAX(0,'Scenario Inputs'!$B$11-F12)*'Scenario Inputs'!$B$12*'Scenario Inputs'!$B$6*'Scenario Inputs'!$B$7),IF(C12="faucets",IF(OR(E12="",'Scenario Inputs'!$B$13="",'Scenario Inputs'!$B$14=""),"",MAX(0,'Scenario Inputs'!$B$13-E12)*'Scenario Inputs'!$B$14*'Scenario Inputs'!$B$6*'Scenario Inputs'!$B$7),""))))</x:f>
      </x:c>
      <x:c r="H12" s="32" t="str">
        <x:f>IF(OR(G12="",G12=0,'Scenario Inputs'!$B$15="",'Scenario Inputs'!$B$16="",'Scenario Inputs'!$B$17=""),"",IF(C12="toilets","",G12*'Scenario Inputs'!$B$15*'Scenario Inputs'!$B$16/'Scenario Inputs'!$B$17))</x:f>
      </x:c>
    </x:row>
    <x:row r="13" ht="24" customHeight="1">
      <x:c r="A13" s="7" t="str">
        <x:f>'Verified Data'!A13</x:f>
        <x:v>K-393-N4-CP</x:v>
      </x:c>
      <x:c r="B13" s="7" t="str">
        <x:f>'Verified Data'!B13</x:f>
        <x:v>Kohler Devonshire Centerset Bathroom Faucet</x:v>
      </x:c>
      <x:c r="C13" s="7" t="str">
        <x:f>'Verified Data'!C13</x:f>
        <x:v>faucets</x:v>
      </x:c>
      <x:c r="D13" s="8" t="str">
        <x:f>IF('Verified Data'!D13="Verified","Verified product record","Not verified — estimate withheld")</x:f>
        <x:v>Not verified — estimate withheld</x:v>
      </x:c>
      <x:c r="E13" s="22" t="n">
        <x:f>'Verified Data'!H13</x:f>
        <x:v>0</x:v>
      </x:c>
      <x:c r="F13" s="22" t="n">
        <x:f>'Verified Data'!I13</x:f>
        <x:v>0</x:v>
      </x:c>
      <x:c r="G13" s="32" t="str">
        <x:f>IF(OR('Verified Data'!$D13&lt;&gt;"Verified",'Verified Data'!$G13=""),"",IF(C13="showers",IF(OR(E13="",'Scenario Inputs'!$B$8=""),"",MAX(0,'Scenario Inputs'!$B$8-E13)*'Scenario Inputs'!$B$9*'Scenario Inputs'!$B$10*'Scenario Inputs'!$B$6*'Scenario Inputs'!$B$7),IF(C13="toilets",IF(OR(F13="",'Scenario Inputs'!$B$11=""),"",MAX(0,'Scenario Inputs'!$B$11-F13)*'Scenario Inputs'!$B$12*'Scenario Inputs'!$B$6*'Scenario Inputs'!$B$7),IF(C13="faucets",IF(OR(E13="",'Scenario Inputs'!$B$13="",'Scenario Inputs'!$B$14=""),"",MAX(0,'Scenario Inputs'!$B$13-E13)*'Scenario Inputs'!$B$14*'Scenario Inputs'!$B$6*'Scenario Inputs'!$B$7),""))))</x:f>
      </x:c>
      <x:c r="H13" s="32" t="str">
        <x:f>IF(OR(G13="",G13=0,'Scenario Inputs'!$B$15="",'Scenario Inputs'!$B$16="",'Scenario Inputs'!$B$17=""),"",IF(C13="toilets","",G13*'Scenario Inputs'!$B$15*'Scenario Inputs'!$B$16/'Scenario Inputs'!$B$17))</x:f>
      </x:c>
    </x:row>
    <x:row r="14" ht="24" customHeight="1">
      <x:c r="A14" s="7" t="str">
        <x:f>'Verified Data'!A14</x:f>
        <x:v>K-72288IN-4-CP</x:v>
      </x:c>
      <x:c r="B14" s="7" t="str">
        <x:f>'Verified Data'!B14</x:f>
        <x:v>Kohler Aleo Single-Control Pillar Faucet</x:v>
      </x:c>
      <x:c r="C14" s="7" t="str">
        <x:f>'Verified Data'!C14</x:f>
        <x:v>faucets</x:v>
      </x:c>
      <x:c r="D14" s="8" t="str">
        <x:f>IF('Verified Data'!D14="Verified","Verified product record","Not verified — estimate withheld")</x:f>
        <x:v>Not verified — estimate withheld</x:v>
      </x:c>
      <x:c r="E14" s="22" t="n">
        <x:f>'Verified Data'!H14</x:f>
        <x:v>0</x:v>
      </x:c>
      <x:c r="F14" s="22" t="n">
        <x:f>'Verified Data'!I14</x:f>
        <x:v>0</x:v>
      </x:c>
      <x:c r="G14" s="32" t="str">
        <x:f>IF(OR('Verified Data'!$D14&lt;&gt;"Verified",'Verified Data'!$G14=""),"",IF(C14="showers",IF(OR(E14="",'Scenario Inputs'!$B$8=""),"",MAX(0,'Scenario Inputs'!$B$8-E14)*'Scenario Inputs'!$B$9*'Scenario Inputs'!$B$10*'Scenario Inputs'!$B$6*'Scenario Inputs'!$B$7),IF(C14="toilets",IF(OR(F14="",'Scenario Inputs'!$B$11=""),"",MAX(0,'Scenario Inputs'!$B$11-F14)*'Scenario Inputs'!$B$12*'Scenario Inputs'!$B$6*'Scenario Inputs'!$B$7),IF(C14="faucets",IF(OR(E14="",'Scenario Inputs'!$B$13="",'Scenario Inputs'!$B$14=""),"",MAX(0,'Scenario Inputs'!$B$13-E14)*'Scenario Inputs'!$B$14*'Scenario Inputs'!$B$6*'Scenario Inputs'!$B$7),""))))</x:f>
      </x:c>
      <x:c r="H14" s="32" t="str">
        <x:f>IF(OR(G14="",G14=0,'Scenario Inputs'!$B$15="",'Scenario Inputs'!$B$16="",'Scenario Inputs'!$B$17=""),"",IF(C14="toilets","",G14*'Scenario Inputs'!$B$15*'Scenario Inputs'!$B$16/'Scenario Inputs'!$B$17))</x:f>
      </x:c>
    </x:row>
    <x:row r="15" ht="24" customHeight="1">
      <x:c r="A15" s="7" t="str">
        <x:f>'Verified Data'!A15</x:f>
        <x:v>K-77958-4-BL</x:v>
      </x:c>
      <x:c r="B15" s="7" t="str">
        <x:f>'Verified Data'!B15</x:f>
        <x:v>Kohler Components Widespread Bathroom Faucet</x:v>
      </x:c>
      <x:c r="C15" s="7" t="str">
        <x:f>'Verified Data'!C15</x:f>
        <x:v>faucets</x:v>
      </x:c>
      <x:c r="D15" s="8" t="str">
        <x:f>IF('Verified Data'!D15="Verified","Verified product record","Not verified — estimate withheld")</x:f>
        <x:v>Not verified — estimate withheld</x:v>
      </x:c>
      <x:c r="E15" s="22" t="n">
        <x:f>'Verified Data'!H15</x:f>
        <x:v>0</x:v>
      </x:c>
      <x:c r="F15" s="22" t="n">
        <x:f>'Verified Data'!I15</x:f>
        <x:v>0</x:v>
      </x:c>
      <x:c r="G15" s="32" t="str">
        <x:f>IF(OR('Verified Data'!$D15&lt;&gt;"Verified",'Verified Data'!$G15=""),"",IF(C15="showers",IF(OR(E15="",'Scenario Inputs'!$B$8=""),"",MAX(0,'Scenario Inputs'!$B$8-E15)*'Scenario Inputs'!$B$9*'Scenario Inputs'!$B$10*'Scenario Inputs'!$B$6*'Scenario Inputs'!$B$7),IF(C15="toilets",IF(OR(F15="",'Scenario Inputs'!$B$11=""),"",MAX(0,'Scenario Inputs'!$B$11-F15)*'Scenario Inputs'!$B$12*'Scenario Inputs'!$B$6*'Scenario Inputs'!$B$7),IF(C15="faucets",IF(OR(E15="",'Scenario Inputs'!$B$13="",'Scenario Inputs'!$B$14=""),"",MAX(0,'Scenario Inputs'!$B$13-E15)*'Scenario Inputs'!$B$14*'Scenario Inputs'!$B$6*'Scenario Inputs'!$B$7),""))))</x:f>
      </x:c>
      <x:c r="H15" s="32" t="str">
        <x:f>IF(OR(G15="",G15=0,'Scenario Inputs'!$B$15="",'Scenario Inputs'!$B$16="",'Scenario Inputs'!$B$17=""),"",IF(C15="toilets","",G15*'Scenario Inputs'!$B$15*'Scenario Inputs'!$B$16/'Scenario Inputs'!$B$17))</x:f>
      </x:c>
    </x:row>
    <x:row r="16" ht="24" customHeight="1">
      <x:c r="A16" s="7" t="str">
        <x:f>'Verified Data'!A16</x:f>
        <x:v>K-3999-0</x:v>
      </x:c>
      <x:c r="B16" s="7" t="str">
        <x:f>'Verified Data'!B16</x:f>
        <x:v>Highline Comfort Height Two-Piece Toilet</x:v>
      </x:c>
      <x:c r="C16" s="7" t="str">
        <x:f>'Verified Data'!C16</x:f>
        <x:v>toilets</x:v>
      </x:c>
      <x:c r="D16" s="8" t="str">
        <x:f>IF('Verified Data'!D16="Verified","Verified product record","Not verified — estimate withheld")</x:f>
        <x:v>Not verified — estimate withheld</x:v>
      </x:c>
      <x:c r="E16" s="22" t="n">
        <x:f>'Verified Data'!H16</x:f>
        <x:v>0</x:v>
      </x:c>
      <x:c r="F16" s="22" t="n">
        <x:f>'Verified Data'!I16</x:f>
        <x:v>0</x:v>
      </x:c>
      <x:c r="G16" s="32" t="str">
        <x:f>IF(OR('Verified Data'!$D16&lt;&gt;"Verified",'Verified Data'!$G16=""),"",IF(C16="showers",IF(OR(E16="",'Scenario Inputs'!$B$8=""),"",MAX(0,'Scenario Inputs'!$B$8-E16)*'Scenario Inputs'!$B$9*'Scenario Inputs'!$B$10*'Scenario Inputs'!$B$6*'Scenario Inputs'!$B$7),IF(C16="toilets",IF(OR(F16="",'Scenario Inputs'!$B$11=""),"",MAX(0,'Scenario Inputs'!$B$11-F16)*'Scenario Inputs'!$B$12*'Scenario Inputs'!$B$6*'Scenario Inputs'!$B$7),IF(C16="faucets",IF(OR(E16="",'Scenario Inputs'!$B$13="",'Scenario Inputs'!$B$14=""),"",MAX(0,'Scenario Inputs'!$B$13-E16)*'Scenario Inputs'!$B$14*'Scenario Inputs'!$B$6*'Scenario Inputs'!$B$7),""))))</x:f>
      </x:c>
      <x:c r="H16" s="32" t="str">
        <x:f>IF(OR(G16="",G16=0,'Scenario Inputs'!$B$15="",'Scenario Inputs'!$B$16="",'Scenario Inputs'!$B$17=""),"",IF(C16="toilets","",G16*'Scenario Inputs'!$B$15*'Scenario Inputs'!$B$16/'Scenario Inputs'!$B$17))</x:f>
      </x:c>
    </x:row>
    <x:row r="17" ht="24" customHeight="1">
      <x:c r="A17" s="7" t="str">
        <x:f>'Verified Data'!A17</x:f>
        <x:v>K-3810-0</x:v>
      </x:c>
      <x:c r="B17" s="7" t="str">
        <x:f>'Verified Data'!B17</x:f>
        <x:v>Santa Rosa Compact Elongated One-Piece Toilet</x:v>
      </x:c>
      <x:c r="C17" s="7" t="str">
        <x:f>'Verified Data'!C17</x:f>
        <x:v>toilets</x:v>
      </x:c>
      <x:c r="D17" s="8" t="str">
        <x:f>IF('Verified Data'!D17="Verified","Verified product record","Not verified — estimate withheld")</x:f>
        <x:v>Not verified — estimate withheld</x:v>
      </x:c>
      <x:c r="E17" s="22" t="n">
        <x:f>'Verified Data'!H17</x:f>
        <x:v>0</x:v>
      </x:c>
      <x:c r="F17" s="22" t="n">
        <x:f>'Verified Data'!I17</x:f>
        <x:v>0</x:v>
      </x:c>
      <x:c r="G17" s="32" t="str">
        <x:f>IF(OR('Verified Data'!$D17&lt;&gt;"Verified",'Verified Data'!$G17=""),"",IF(C17="showers",IF(OR(E17="",'Scenario Inputs'!$B$8=""),"",MAX(0,'Scenario Inputs'!$B$8-E17)*'Scenario Inputs'!$B$9*'Scenario Inputs'!$B$10*'Scenario Inputs'!$B$6*'Scenario Inputs'!$B$7),IF(C17="toilets",IF(OR(F17="",'Scenario Inputs'!$B$11=""),"",MAX(0,'Scenario Inputs'!$B$11-F17)*'Scenario Inputs'!$B$12*'Scenario Inputs'!$B$6*'Scenario Inputs'!$B$7),IF(C17="faucets",IF(OR(E17="",'Scenario Inputs'!$B$13="",'Scenario Inputs'!$B$14=""),"",MAX(0,'Scenario Inputs'!$B$13-E17)*'Scenario Inputs'!$B$14*'Scenario Inputs'!$B$6*'Scenario Inputs'!$B$7),""))))</x:f>
      </x:c>
      <x:c r="H17" s="32" t="str">
        <x:f>IF(OR(G17="",G17=0,'Scenario Inputs'!$B$15="",'Scenario Inputs'!$B$16="",'Scenario Inputs'!$B$17=""),"",IF(C17="toilets","",G17*'Scenario Inputs'!$B$15*'Scenario Inputs'!$B$16/'Scenario Inputs'!$B$17))</x:f>
      </x:c>
    </x:row>
    <x:row r="18" ht="24" customHeight="1">
      <x:c r="A18" s="7" t="str">
        <x:f>'Verified Data'!A18</x:f>
        <x:v>K-6355-0</x:v>
      </x:c>
      <x:c r="B18" s="7" t="str">
        <x:f>'Verified Data'!B18</x:f>
        <x:v>Persuade Curated Dual-Flush Skirted Toilet</x:v>
      </x:c>
      <x:c r="C18" s="7" t="str">
        <x:f>'Verified Data'!C18</x:f>
        <x:v>toilets</x:v>
      </x:c>
      <x:c r="D18" s="8" t="str">
        <x:f>IF('Verified Data'!D18="Verified","Verified product record","Not verified — estimate withheld")</x:f>
        <x:v>Not verified — estimate withheld</x:v>
      </x:c>
      <x:c r="E18" s="22" t="n">
        <x:f>'Verified Data'!H18</x:f>
        <x:v>0</x:v>
      </x:c>
      <x:c r="F18" s="22" t="n">
        <x:f>'Verified Data'!I18</x:f>
        <x:v>0</x:v>
      </x:c>
      <x:c r="G18" s="32" t="str">
        <x:f>IF(OR('Verified Data'!$D18&lt;&gt;"Verified",'Verified Data'!$G18=""),"",IF(C18="showers",IF(OR(E18="",'Scenario Inputs'!$B$8=""),"",MAX(0,'Scenario Inputs'!$B$8-E18)*'Scenario Inputs'!$B$9*'Scenario Inputs'!$B$10*'Scenario Inputs'!$B$6*'Scenario Inputs'!$B$7),IF(C18="toilets",IF(OR(F18="",'Scenario Inputs'!$B$11=""),"",MAX(0,'Scenario Inputs'!$B$11-F18)*'Scenario Inputs'!$B$12*'Scenario Inputs'!$B$6*'Scenario Inputs'!$B$7),IF(C18="faucets",IF(OR(E18="",'Scenario Inputs'!$B$13="",'Scenario Inputs'!$B$14=""),"",MAX(0,'Scenario Inputs'!$B$13-E18)*'Scenario Inputs'!$B$14*'Scenario Inputs'!$B$6*'Scenario Inputs'!$B$7),""))))</x:f>
      </x:c>
      <x:c r="H18" s="32" t="str">
        <x:f>IF(OR(G18="",G18=0,'Scenario Inputs'!$B$15="",'Scenario Inputs'!$B$16="",'Scenario Inputs'!$B$17=""),"",IF(C18="toilets","",G18*'Scenario Inputs'!$B$15*'Scenario Inputs'!$B$16/'Scenario Inputs'!$B$17))</x:f>
      </x:c>
    </x:row>
    <x:row r="19" ht="24" customHeight="1">
      <x:c r="A19" s="7" t="str">
        <x:f>'Verified Data'!A19</x:f>
        <x:v>K-4007-0</x:v>
      </x:c>
      <x:c r="B19" s="7" t="str">
        <x:f>'Verified Data'!B19</x:f>
        <x:v>San Souci Low-Profile One-Piece Toilet</x:v>
      </x:c>
      <x:c r="C19" s="7" t="str">
        <x:f>'Verified Data'!C19</x:f>
        <x:v>toilets</x:v>
      </x:c>
      <x:c r="D19" s="8" t="str">
        <x:f>IF('Verified Data'!D19="Verified","Verified product record","Not verified — estimate withheld")</x:f>
        <x:v>Not verified — estimate withheld</x:v>
      </x:c>
      <x:c r="E19" s="22" t="n">
        <x:f>'Verified Data'!H19</x:f>
        <x:v>0</x:v>
      </x:c>
      <x:c r="F19" s="22" t="n">
        <x:f>'Verified Data'!I19</x:f>
        <x:v>0</x:v>
      </x:c>
      <x:c r="G19" s="32" t="str">
        <x:f>IF(OR('Verified Data'!$D19&lt;&gt;"Verified",'Verified Data'!$G19=""),"",IF(C19="showers",IF(OR(E19="",'Scenario Inputs'!$B$8=""),"",MAX(0,'Scenario Inputs'!$B$8-E19)*'Scenario Inputs'!$B$9*'Scenario Inputs'!$B$10*'Scenario Inputs'!$B$6*'Scenario Inputs'!$B$7),IF(C19="toilets",IF(OR(F19="",'Scenario Inputs'!$B$11=""),"",MAX(0,'Scenario Inputs'!$B$11-F19)*'Scenario Inputs'!$B$12*'Scenario Inputs'!$B$6*'Scenario Inputs'!$B$7),IF(C19="faucets",IF(OR(E19="",'Scenario Inputs'!$B$13="",'Scenario Inputs'!$B$14=""),"",MAX(0,'Scenario Inputs'!$B$13-E19)*'Scenario Inputs'!$B$14*'Scenario Inputs'!$B$6*'Scenario Inputs'!$B$7),""))))</x:f>
      </x:c>
      <x:c r="H19" s="32" t="str">
        <x:f>IF(OR(G19="",G19=0,'Scenario Inputs'!$B$15="",'Scenario Inputs'!$B$16="",'Scenario Inputs'!$B$17=""),"",IF(C19="toilets","",G19*'Scenario Inputs'!$B$15*'Scenario Inputs'!$B$16/'Scenario Inputs'!$B$17))</x:f>
      </x:c>
    </x:row>
    <x:row r="20" ht="24" customHeight="1">
      <x:c r="A20" s="7" t="str">
        <x:f>'Verified Data'!A20</x:f>
        <x:v>K-18829-0</x:v>
      </x:c>
      <x:c r="B20" s="7" t="str">
        <x:f>'Verified Data'!B20</x:f>
        <x:v>Reach Wall-Hung Concealed Tank Toilet</x:v>
      </x:c>
      <x:c r="C20" s="7" t="str">
        <x:f>'Verified Data'!C20</x:f>
        <x:v>toilets</x:v>
      </x:c>
      <x:c r="D20" s="8" t="str">
        <x:f>IF('Verified Data'!D20="Verified","Verified product record","Not verified — estimate withheld")</x:f>
        <x:v>Not verified — estimate withheld</x:v>
      </x:c>
      <x:c r="E20" s="22" t="n">
        <x:f>'Verified Data'!H20</x:f>
        <x:v>0</x:v>
      </x:c>
      <x:c r="F20" s="22" t="n">
        <x:f>'Verified Data'!I20</x:f>
        <x:v>0</x:v>
      </x:c>
      <x:c r="G20" s="32" t="str">
        <x:f>IF(OR('Verified Data'!$D20&lt;&gt;"Verified",'Verified Data'!$G20=""),"",IF(C20="showers",IF(OR(E20="",'Scenario Inputs'!$B$8=""),"",MAX(0,'Scenario Inputs'!$B$8-E20)*'Scenario Inputs'!$B$9*'Scenario Inputs'!$B$10*'Scenario Inputs'!$B$6*'Scenario Inputs'!$B$7),IF(C20="toilets",IF(OR(F20="",'Scenario Inputs'!$B$11=""),"",MAX(0,'Scenario Inputs'!$B$11-F20)*'Scenario Inputs'!$B$12*'Scenario Inputs'!$B$6*'Scenario Inputs'!$B$7),IF(C20="faucets",IF(OR(E20="",'Scenario Inputs'!$B$13="",'Scenario Inputs'!$B$14=""),"",MAX(0,'Scenario Inputs'!$B$13-E20)*'Scenario Inputs'!$B$14*'Scenario Inputs'!$B$6*'Scenario Inputs'!$B$7),""))))</x:f>
      </x:c>
      <x:c r="H20" s="32" t="str">
        <x:f>IF(OR(G20="",G20=0,'Scenario Inputs'!$B$15="",'Scenario Inputs'!$B$16="",'Scenario Inputs'!$B$17=""),"",IF(C20="toilets","",G20*'Scenario Inputs'!$B$15*'Scenario Inputs'!$B$16/'Scenario Inputs'!$B$17))</x:f>
      </x:c>
    </x:row>
    <x:row r="21" ht="24" customHeight="1">
      <x:c r="A21" s="7" t="str">
        <x:f>'Verified Data'!A21</x:f>
        <x:v>K-3981-0</x:v>
      </x:c>
      <x:c r="B21" s="7" t="str">
        <x:f>'Verified Data'!B21</x:f>
        <x:v>Tresham Comfort Height Two-Piece Toilet</x:v>
      </x:c>
      <x:c r="C21" s="7" t="str">
        <x:f>'Verified Data'!C21</x:f>
        <x:v>toilets</x:v>
      </x:c>
      <x:c r="D21" s="8" t="str">
        <x:f>IF('Verified Data'!D21="Verified","Verified product record","Not verified — estimate withheld")</x:f>
        <x:v>Not verified — estimate withheld</x:v>
      </x:c>
      <x:c r="E21" s="22" t="n">
        <x:f>'Verified Data'!H21</x:f>
        <x:v>0</x:v>
      </x:c>
      <x:c r="F21" s="22" t="n">
        <x:f>'Verified Data'!I21</x:f>
        <x:v>0</x:v>
      </x:c>
      <x:c r="G21" s="32" t="str">
        <x:f>IF(OR('Verified Data'!$D21&lt;&gt;"Verified",'Verified Data'!$G21=""),"",IF(C21="showers",IF(OR(E21="",'Scenario Inputs'!$B$8=""),"",MAX(0,'Scenario Inputs'!$B$8-E21)*'Scenario Inputs'!$B$9*'Scenario Inputs'!$B$10*'Scenario Inputs'!$B$6*'Scenario Inputs'!$B$7),IF(C21="toilets",IF(OR(F21="",'Scenario Inputs'!$B$11=""),"",MAX(0,'Scenario Inputs'!$B$11-F21)*'Scenario Inputs'!$B$12*'Scenario Inputs'!$B$6*'Scenario Inputs'!$B$7),IF(C21="faucets",IF(OR(E21="",'Scenario Inputs'!$B$13="",'Scenario Inputs'!$B$14=""),"",MAX(0,'Scenario Inputs'!$B$13-E21)*'Scenario Inputs'!$B$14*'Scenario Inputs'!$B$6*'Scenario Inputs'!$B$7),""))))</x:f>
      </x:c>
      <x:c r="H21" s="32" t="str">
        <x:f>IF(OR(G21="",G21=0,'Scenario Inputs'!$B$15="",'Scenario Inputs'!$B$16="",'Scenario Inputs'!$B$17=""),"",IF(C21="toilets","",G21*'Scenario Inputs'!$B$15*'Scenario Inputs'!$B$16/'Scenario Inputs'!$B$17))</x:f>
      </x:c>
    </x:row>
    <x:row r="22" ht="24" customHeight="1">
      <x:c r="A22" s="7" t="str">
        <x:f>'Verified Data'!A22</x:f>
        <x:v>K-76301-0</x:v>
      </x:c>
      <x:c r="B22" s="7" t="str">
        <x:f>'Verified Data'!B22</x:f>
        <x:v>Betello ContinuousClean Skirted Toilet</x:v>
      </x:c>
      <x:c r="C22" s="7" t="str">
        <x:f>'Verified Data'!C22</x:f>
        <x:v>toilets</x:v>
      </x:c>
      <x:c r="D22" s="8" t="str">
        <x:f>IF('Verified Data'!D22="Verified","Verified product record","Not verified — estimate withheld")</x:f>
        <x:v>Not verified — estimate withheld</x:v>
      </x:c>
      <x:c r="E22" s="22" t="n">
        <x:f>'Verified Data'!H22</x:f>
        <x:v>0</x:v>
      </x:c>
      <x:c r="F22" s="22" t="n">
        <x:f>'Verified Data'!I22</x:f>
        <x:v>0</x:v>
      </x:c>
      <x:c r="G22" s="32" t="str">
        <x:f>IF(OR('Verified Data'!$D22&lt;&gt;"Verified",'Verified Data'!$G22=""),"",IF(C22="showers",IF(OR(E22="",'Scenario Inputs'!$B$8=""),"",MAX(0,'Scenario Inputs'!$B$8-E22)*'Scenario Inputs'!$B$9*'Scenario Inputs'!$B$10*'Scenario Inputs'!$B$6*'Scenario Inputs'!$B$7),IF(C22="toilets",IF(OR(F22="",'Scenario Inputs'!$B$11=""),"",MAX(0,'Scenario Inputs'!$B$11-F22)*'Scenario Inputs'!$B$12*'Scenario Inputs'!$B$6*'Scenario Inputs'!$B$7),IF(C22="faucets",IF(OR(E22="",'Scenario Inputs'!$B$13="",'Scenario Inputs'!$B$14=""),"",MAX(0,'Scenario Inputs'!$B$13-E22)*'Scenario Inputs'!$B$14*'Scenario Inputs'!$B$6*'Scenario Inputs'!$B$7),""))))</x:f>
      </x:c>
      <x:c r="H22" s="32" t="str">
        <x:f>IF(OR(G22="",G22=0,'Scenario Inputs'!$B$15="",'Scenario Inputs'!$B$16="",'Scenario Inputs'!$B$17=""),"",IF(C22="toilets","",G22*'Scenario Inputs'!$B$15*'Scenario Inputs'!$B$16/'Scenario Inputs'!$B$17))</x:f>
      </x:c>
    </x:row>
    <x:row r="23" ht="24" customHeight="1">
      <x:c r="A23" s="7" t="str">
        <x:f>'Verified Data'!A23</x:f>
        <x:v>K-5401-0</x:v>
      </x:c>
      <x:c r="B23" s="7" t="str">
        <x:f>'Verified Data'!B23</x:f>
        <x:v>Veil Intelligent Smart Bidet Toilet</x:v>
      </x:c>
      <x:c r="C23" s="7" t="str">
        <x:f>'Verified Data'!C23</x:f>
        <x:v>toilets</x:v>
      </x:c>
      <x:c r="D23" s="8" t="str">
        <x:f>IF('Verified Data'!D23="Verified","Verified product record","Not verified — estimate withheld")</x:f>
        <x:v>Not verified — estimate withheld</x:v>
      </x:c>
      <x:c r="E23" s="22" t="n">
        <x:f>'Verified Data'!H23</x:f>
        <x:v>0</x:v>
      </x:c>
      <x:c r="F23" s="22" t="n">
        <x:f>'Verified Data'!I23</x:f>
        <x:v>0</x:v>
      </x:c>
      <x:c r="G23" s="32" t="str">
        <x:f>IF(OR('Verified Data'!$D23&lt;&gt;"Verified",'Verified Data'!$G23=""),"",IF(C23="showers",IF(OR(E23="",'Scenario Inputs'!$B$8=""),"",MAX(0,'Scenario Inputs'!$B$8-E23)*'Scenario Inputs'!$B$9*'Scenario Inputs'!$B$10*'Scenario Inputs'!$B$6*'Scenario Inputs'!$B$7),IF(C23="toilets",IF(OR(F23="",'Scenario Inputs'!$B$11=""),"",MAX(0,'Scenario Inputs'!$B$11-F23)*'Scenario Inputs'!$B$12*'Scenario Inputs'!$B$6*'Scenario Inputs'!$B$7),IF(C23="faucets",IF(OR(E23="",'Scenario Inputs'!$B$13="",'Scenario Inputs'!$B$14=""),"",MAX(0,'Scenario Inputs'!$B$13-E23)*'Scenario Inputs'!$B$14*'Scenario Inputs'!$B$6*'Scenario Inputs'!$B$7),""))))</x:f>
      </x:c>
      <x:c r="H23" s="32" t="str">
        <x:f>IF(OR(G23="",G23=0,'Scenario Inputs'!$B$15="",'Scenario Inputs'!$B$16="",'Scenario Inputs'!$B$17=""),"",IF(C23="toilets","",G23*'Scenario Inputs'!$B$15*'Scenario Inputs'!$B$16/'Scenario Inputs'!$B$17))</x:f>
      </x:c>
    </x:row>
    <x:row r="24" ht="24" customHeight="1">
      <x:c r="A24" s="7" t="str">
        <x:f>'Verified Data'!A24</x:f>
        <x:v>K-77795-0</x:v>
      </x:c>
      <x:c r="B24" s="7" t="str">
        <x:f>'Verified Data'!B24</x:f>
        <x:v>Eir Intelligent Luxury Smart Toilet</x:v>
      </x:c>
      <x:c r="C24" s="7" t="str">
        <x:f>'Verified Data'!C24</x:f>
        <x:v>toilets</x:v>
      </x:c>
      <x:c r="D24" s="8" t="str">
        <x:f>IF('Verified Data'!D24="Verified","Verified product record","Not verified — estimate withheld")</x:f>
        <x:v>Not verified — estimate withheld</x:v>
      </x:c>
      <x:c r="E24" s="22" t="n">
        <x:f>'Verified Data'!H24</x:f>
        <x:v>0</x:v>
      </x:c>
      <x:c r="F24" s="22" t="n">
        <x:f>'Verified Data'!I24</x:f>
        <x:v>0</x:v>
      </x:c>
      <x:c r="G24" s="32" t="str">
        <x:f>IF(OR('Verified Data'!$D24&lt;&gt;"Verified",'Verified Data'!$G24=""),"",IF(C24="showers",IF(OR(E24="",'Scenario Inputs'!$B$8=""),"",MAX(0,'Scenario Inputs'!$B$8-E24)*'Scenario Inputs'!$B$9*'Scenario Inputs'!$B$10*'Scenario Inputs'!$B$6*'Scenario Inputs'!$B$7),IF(C24="toilets",IF(OR(F24="",'Scenario Inputs'!$B$11=""),"",MAX(0,'Scenario Inputs'!$B$11-F24)*'Scenario Inputs'!$B$12*'Scenario Inputs'!$B$6*'Scenario Inputs'!$B$7),IF(C24="faucets",IF(OR(E24="",'Scenario Inputs'!$B$13="",'Scenario Inputs'!$B$14=""),"",MAX(0,'Scenario Inputs'!$B$13-E24)*'Scenario Inputs'!$B$14*'Scenario Inputs'!$B$6*'Scenario Inputs'!$B$7),""))))</x:f>
      </x:c>
      <x:c r="H24" s="32" t="str">
        <x:f>IF(OR(G24="",G24=0,'Scenario Inputs'!$B$15="",'Scenario Inputs'!$B$16="",'Scenario Inputs'!$B$17=""),"",IF(C24="toilets","",G24*'Scenario Inputs'!$B$15*'Scenario Inputs'!$B$16/'Scenario Inputs'!$B$17))</x:f>
      </x:c>
    </x:row>
    <x:row r="25" ht="24" customHeight="1">
      <x:c r="A25" s="7" t="str">
        <x:f>'Verified Data'!A25</x:f>
        <x:v>K-30754-0</x:v>
      </x:c>
      <x:c r="B25" s="7" t="str">
        <x:f>'Verified Data'!B25</x:f>
        <x:v>Numi 2.0 Flagship Intelligent Smart Toilet</x:v>
      </x:c>
      <x:c r="C25" s="7" t="str">
        <x:f>'Verified Data'!C25</x:f>
        <x:v>toilets</x:v>
      </x:c>
      <x:c r="D25" s="8" t="str">
        <x:f>IF('Verified Data'!D25="Verified","Verified product record","Not verified — estimate withheld")</x:f>
        <x:v>Not verified — estimate withheld</x:v>
      </x:c>
      <x:c r="E25" s="22" t="n">
        <x:f>'Verified Data'!H25</x:f>
        <x:v>0</x:v>
      </x:c>
      <x:c r="F25" s="22" t="n">
        <x:f>'Verified Data'!I25</x:f>
        <x:v>0</x:v>
      </x:c>
      <x:c r="G25" s="32" t="str">
        <x:f>IF(OR('Verified Data'!$D25&lt;&gt;"Verified",'Verified Data'!$G25=""),"",IF(C25="showers",IF(OR(E25="",'Scenario Inputs'!$B$8=""),"",MAX(0,'Scenario Inputs'!$B$8-E25)*'Scenario Inputs'!$B$9*'Scenario Inputs'!$B$10*'Scenario Inputs'!$B$6*'Scenario Inputs'!$B$7),IF(C25="toilets",IF(OR(F25="",'Scenario Inputs'!$B$11=""),"",MAX(0,'Scenario Inputs'!$B$11-F25)*'Scenario Inputs'!$B$12*'Scenario Inputs'!$B$6*'Scenario Inputs'!$B$7),IF(C25="faucets",IF(OR(E25="",'Scenario Inputs'!$B$13="",'Scenario Inputs'!$B$14=""),"",MAX(0,'Scenario Inputs'!$B$13-E25)*'Scenario Inputs'!$B$14*'Scenario Inputs'!$B$6*'Scenario Inputs'!$B$7),""))))</x:f>
      </x:c>
      <x:c r="H25" s="32" t="str">
        <x:f>IF(OR(G25="",G25=0,'Scenario Inputs'!$B$15="",'Scenario Inputs'!$B$16="",'Scenario Inputs'!$B$17=""),"",IF(C25="toilets","",G25*'Scenario Inputs'!$B$15*'Scenario Inputs'!$B$16/'Scenario Inputs'!$B$17))</x:f>
      </x:c>
    </x:row>
    <x:row r="26" ht="24" customHeight="1">
      <x:c r="A26" s="7" t="str">
        <x:f>'Verified Data'!A26</x:f>
        <x:v>K-28238-CP</x:v>
      </x:c>
      <x:c r="B26" s="7" t="str">
        <x:f>'Verified Data'!B26</x:f>
        <x:v>Moxie Bluetooth Speaker Showerhead</x:v>
      </x:c>
      <x:c r="C26" s="7" t="str">
        <x:f>'Verified Data'!C26</x:f>
        <x:v>showers</x:v>
      </x:c>
      <x:c r="D26" s="8" t="str">
        <x:f>IF('Verified Data'!D26="Verified","Verified product record","Not verified — estimate withheld")</x:f>
        <x:v>Not verified — estimate withheld</x:v>
      </x:c>
      <x:c r="E26" s="22" t="n">
        <x:f>'Verified Data'!H26</x:f>
        <x:v>0</x:v>
      </x:c>
      <x:c r="F26" s="22" t="n">
        <x:f>'Verified Data'!I26</x:f>
        <x:v>0</x:v>
      </x:c>
      <x:c r="G26" s="32" t="str">
        <x:f>IF(OR('Verified Data'!$D26&lt;&gt;"Verified",'Verified Data'!$G26=""),"",IF(C26="showers",IF(OR(E26="",'Scenario Inputs'!$B$8=""),"",MAX(0,'Scenario Inputs'!$B$8-E26)*'Scenario Inputs'!$B$9*'Scenario Inputs'!$B$10*'Scenario Inputs'!$B$6*'Scenario Inputs'!$B$7),IF(C26="toilets",IF(OR(F26="",'Scenario Inputs'!$B$11=""),"",MAX(0,'Scenario Inputs'!$B$11-F26)*'Scenario Inputs'!$B$12*'Scenario Inputs'!$B$6*'Scenario Inputs'!$B$7),IF(C26="faucets",IF(OR(E26="",'Scenario Inputs'!$B$13="",'Scenario Inputs'!$B$14=""),"",MAX(0,'Scenario Inputs'!$B$13-E26)*'Scenario Inputs'!$B$14*'Scenario Inputs'!$B$6*'Scenario Inputs'!$B$7),""))))</x:f>
      </x:c>
      <x:c r="H26" s="32" t="str">
        <x:f>IF(OR(G26="",G26=0,'Scenario Inputs'!$B$15="",'Scenario Inputs'!$B$16="",'Scenario Inputs'!$B$17=""),"",IF(C26="toilets","",G26*'Scenario Inputs'!$B$15*'Scenario Inputs'!$B$16/'Scenario Inputs'!$B$17))</x:f>
      </x:c>
    </x:row>
    <x:row r="27" ht="24" customHeight="1">
      <x:c r="A27" s="7" t="str">
        <x:f>'Verified Data'!A27</x:f>
        <x:v>K-26290-CP</x:v>
      </x:c>
      <x:c r="B27" s="7" t="str">
        <x:f>'Verified Data'!B27</x:f>
        <x:v>Statement Oval Three-Function Showerhead</x:v>
      </x:c>
      <x:c r="C27" s="7" t="str">
        <x:f>'Verified Data'!C27</x:f>
        <x:v>showers</x:v>
      </x:c>
      <x:c r="D27" s="8" t="str">
        <x:f>IF('Verified Data'!D27="Verified","Verified product record","Not verified — estimate withheld")</x:f>
        <x:v>Not verified — estimate withheld</x:v>
      </x:c>
      <x:c r="E27" s="22" t="n">
        <x:f>'Verified Data'!H27</x:f>
        <x:v>0</x:v>
      </x:c>
      <x:c r="F27" s="22" t="n">
        <x:f>'Verified Data'!I27</x:f>
        <x:v>0</x:v>
      </x:c>
      <x:c r="G27" s="32" t="str">
        <x:f>IF(OR('Verified Data'!$D27&lt;&gt;"Verified",'Verified Data'!$G27=""),"",IF(C27="showers",IF(OR(E27="",'Scenario Inputs'!$B$8=""),"",MAX(0,'Scenario Inputs'!$B$8-E27)*'Scenario Inputs'!$B$9*'Scenario Inputs'!$B$10*'Scenario Inputs'!$B$6*'Scenario Inputs'!$B$7),IF(C27="toilets",IF(OR(F27="",'Scenario Inputs'!$B$11=""),"",MAX(0,'Scenario Inputs'!$B$11-F27)*'Scenario Inputs'!$B$12*'Scenario Inputs'!$B$6*'Scenario Inputs'!$B$7),IF(C27="faucets",IF(OR(E27="",'Scenario Inputs'!$B$13="",'Scenario Inputs'!$B$14=""),"",MAX(0,'Scenario Inputs'!$B$13-E27)*'Scenario Inputs'!$B$14*'Scenario Inputs'!$B$6*'Scenario Inputs'!$B$7),""))))</x:f>
      </x:c>
      <x:c r="H27" s="32" t="str">
        <x:f>IF(OR(G27="",G27=0,'Scenario Inputs'!$B$15="",'Scenario Inputs'!$B$16="",'Scenario Inputs'!$B$17=""),"",IF(C27="toilets","",G27*'Scenario Inputs'!$B$15*'Scenario Inputs'!$B$16/'Scenario Inputs'!$B$17))</x:f>
      </x:c>
    </x:row>
    <x:row r="28" ht="24" customHeight="1">
      <x:c r="A28" s="7" t="str">
        <x:f>'Verified Data'!A28</x:f>
        <x:v>K-965-AK-CP</x:v>
      </x:c>
      <x:c r="B28" s="7" t="str">
        <x:f>'Verified Data'!B28</x:f>
        <x:v>Purist Single-Function Katalyst Showerhead</x:v>
      </x:c>
      <x:c r="C28" s="7" t="str">
        <x:f>'Verified Data'!C28</x:f>
        <x:v>showers</x:v>
      </x:c>
      <x:c r="D28" s="8" t="str">
        <x:f>IF('Verified Data'!D28="Verified","Verified product record","Not verified — estimate withheld")</x:f>
        <x:v>Not verified — estimate withheld</x:v>
      </x:c>
      <x:c r="E28" s="22" t="n">
        <x:f>'Verified Data'!H28</x:f>
        <x:v>0</x:v>
      </x:c>
      <x:c r="F28" s="22" t="n">
        <x:f>'Verified Data'!I28</x:f>
        <x:v>0</x:v>
      </x:c>
      <x:c r="G28" s="32" t="str">
        <x:f>IF(OR('Verified Data'!$D28&lt;&gt;"Verified",'Verified Data'!$G28=""),"",IF(C28="showers",IF(OR(E28="",'Scenario Inputs'!$B$8=""),"",MAX(0,'Scenario Inputs'!$B$8-E28)*'Scenario Inputs'!$B$9*'Scenario Inputs'!$B$10*'Scenario Inputs'!$B$6*'Scenario Inputs'!$B$7),IF(C28="toilets",IF(OR(F28="",'Scenario Inputs'!$B$11=""),"",MAX(0,'Scenario Inputs'!$B$11-F28)*'Scenario Inputs'!$B$12*'Scenario Inputs'!$B$6*'Scenario Inputs'!$B$7),IF(C28="faucets",IF(OR(E28="",'Scenario Inputs'!$B$13="",'Scenario Inputs'!$B$14=""),"",MAX(0,'Scenario Inputs'!$B$13-E28)*'Scenario Inputs'!$B$14*'Scenario Inputs'!$B$6*'Scenario Inputs'!$B$7),""))))</x:f>
      </x:c>
      <x:c r="H28" s="32" t="str">
        <x:f>IF(OR(G28="",G28=0,'Scenario Inputs'!$B$15="",'Scenario Inputs'!$B$16="",'Scenario Inputs'!$B$17=""),"",IF(C28="toilets","",G28*'Scenario Inputs'!$B$15*'Scenario Inputs'!$B$16/'Scenario Inputs'!$B$17))</x:f>
      </x:c>
    </x:row>
    <x:row r="29" ht="24" customHeight="1">
      <x:c r="A29" s="7" t="str">
        <x:f>'Verified Data'!A29</x:f>
        <x:v>K-72773-2MB</x:v>
      </x:c>
      <x:c r="B29" s="7" t="str">
        <x:f>'Verified Data'!B29</x:f>
        <x:v>Artifacts Single-Function Heritage Showerhead</x:v>
      </x:c>
      <x:c r="C29" s="7" t="str">
        <x:f>'Verified Data'!C29</x:f>
        <x:v>showers</x:v>
      </x:c>
      <x:c r="D29" s="8" t="str">
        <x:f>IF('Verified Data'!D29="Verified","Verified product record","Not verified — estimate withheld")</x:f>
        <x:v>Not verified — estimate withheld</x:v>
      </x:c>
      <x:c r="E29" s="22" t="n">
        <x:f>'Verified Data'!H29</x:f>
        <x:v>0</x:v>
      </x:c>
      <x:c r="F29" s="22" t="n">
        <x:f>'Verified Data'!I29</x:f>
        <x:v>0</x:v>
      </x:c>
      <x:c r="G29" s="32" t="str">
        <x:f>IF(OR('Verified Data'!$D29&lt;&gt;"Verified",'Verified Data'!$G29=""),"",IF(C29="showers",IF(OR(E29="",'Scenario Inputs'!$B$8=""),"",MAX(0,'Scenario Inputs'!$B$8-E29)*'Scenario Inputs'!$B$9*'Scenario Inputs'!$B$10*'Scenario Inputs'!$B$6*'Scenario Inputs'!$B$7),IF(C29="toilets",IF(OR(F29="",'Scenario Inputs'!$B$11=""),"",MAX(0,'Scenario Inputs'!$B$11-F29)*'Scenario Inputs'!$B$12*'Scenario Inputs'!$B$6*'Scenario Inputs'!$B$7),IF(C29="faucets",IF(OR(E29="",'Scenario Inputs'!$B$13="",'Scenario Inputs'!$B$14=""),"",MAX(0,'Scenario Inputs'!$B$13-E29)*'Scenario Inputs'!$B$14*'Scenario Inputs'!$B$6*'Scenario Inputs'!$B$7),""))))</x:f>
      </x:c>
      <x:c r="H29" s="32" t="str">
        <x:f>IF(OR(G29="",G29=0,'Scenario Inputs'!$B$15="",'Scenario Inputs'!$B$16="",'Scenario Inputs'!$B$17=""),"",IF(C29="toilets","",G29*'Scenario Inputs'!$B$15*'Scenario Inputs'!$B$16/'Scenario Inputs'!$B$17))</x:f>
      </x:c>
    </x:row>
    <x:row r="30" ht="24" customHeight="1">
      <x:c r="A30" s="7" t="str">
        <x:f>'Verified Data'!A30</x:f>
        <x:v>K-13688-CP</x:v>
      </x:c>
      <x:c r="B30" s="7" t="str">
        <x:f>'Verified Data'!B30</x:f>
        <x:v>Contemporary 8-Inch Round Rainhead</x:v>
      </x:c>
      <x:c r="C30" s="7" t="str">
        <x:f>'Verified Data'!C30</x:f>
        <x:v>showers</x:v>
      </x:c>
      <x:c r="D30" s="8" t="str">
        <x:f>IF('Verified Data'!D30="Verified","Verified product record","Not verified — estimate withheld")</x:f>
        <x:v>Not verified — estimate withheld</x:v>
      </x:c>
      <x:c r="E30" s="22" t="n">
        <x:f>'Verified Data'!H30</x:f>
        <x:v>0</x:v>
      </x:c>
      <x:c r="F30" s="22" t="n">
        <x:f>'Verified Data'!I30</x:f>
        <x:v>0</x:v>
      </x:c>
      <x:c r="G30" s="32" t="str">
        <x:f>IF(OR('Verified Data'!$D30&lt;&gt;"Verified",'Verified Data'!$G30=""),"",IF(C30="showers",IF(OR(E30="",'Scenario Inputs'!$B$8=""),"",MAX(0,'Scenario Inputs'!$B$8-E30)*'Scenario Inputs'!$B$9*'Scenario Inputs'!$B$10*'Scenario Inputs'!$B$6*'Scenario Inputs'!$B$7),IF(C30="toilets",IF(OR(F30="",'Scenario Inputs'!$B$11=""),"",MAX(0,'Scenario Inputs'!$B$11-F30)*'Scenario Inputs'!$B$12*'Scenario Inputs'!$B$6*'Scenario Inputs'!$B$7),IF(C30="faucets",IF(OR(E30="",'Scenario Inputs'!$B$13="",'Scenario Inputs'!$B$14=""),"",MAX(0,'Scenario Inputs'!$B$13-E30)*'Scenario Inputs'!$B$14*'Scenario Inputs'!$B$6*'Scenario Inputs'!$B$7),""))))</x:f>
      </x:c>
      <x:c r="H30" s="32" t="str">
        <x:f>IF(OR(G30="",G30=0,'Scenario Inputs'!$B$15="",'Scenario Inputs'!$B$16="",'Scenario Inputs'!$B$17=""),"",IF(C30="toilets","",G30*'Scenario Inputs'!$B$15*'Scenario Inputs'!$B$16/'Scenario Inputs'!$B$17))</x:f>
      </x:c>
    </x:row>
    <x:row r="31" ht="24" customHeight="1">
      <x:c r="A31" s="7" t="str">
        <x:f>'Verified Data'!A31</x:f>
        <x:v>K-76465-CP</x:v>
      </x:c>
      <x:c r="B31" s="7" t="str">
        <x:f>'Verified Data'!B31</x:f>
        <x:v>Awaken Multi-Function Spray Showerhead</x:v>
      </x:c>
      <x:c r="C31" s="7" t="str">
        <x:f>'Verified Data'!C31</x:f>
        <x:v>showers</x:v>
      </x:c>
      <x:c r="D31" s="8" t="str">
        <x:f>IF('Verified Data'!D31="Verified","Verified product record","Not verified — estimate withheld")</x:f>
        <x:v>Not verified — estimate withheld</x:v>
      </x:c>
      <x:c r="E31" s="22" t="n">
        <x:f>'Verified Data'!H31</x:f>
        <x:v>0</x:v>
      </x:c>
      <x:c r="F31" s="22" t="n">
        <x:f>'Verified Data'!I31</x:f>
        <x:v>0</x:v>
      </x:c>
      <x:c r="G31" s="32" t="str">
        <x:f>IF(OR('Verified Data'!$D31&lt;&gt;"Verified",'Verified Data'!$G31=""),"",IF(C31="showers",IF(OR(E31="",'Scenario Inputs'!$B$8=""),"",MAX(0,'Scenario Inputs'!$B$8-E31)*'Scenario Inputs'!$B$9*'Scenario Inputs'!$B$10*'Scenario Inputs'!$B$6*'Scenario Inputs'!$B$7),IF(C31="toilets",IF(OR(F31="",'Scenario Inputs'!$B$11=""),"",MAX(0,'Scenario Inputs'!$B$11-F31)*'Scenario Inputs'!$B$12*'Scenario Inputs'!$B$6*'Scenario Inputs'!$B$7),IF(C31="faucets",IF(OR(E31="",'Scenario Inputs'!$B$13="",'Scenario Inputs'!$B$14=""),"",MAX(0,'Scenario Inputs'!$B$13-E31)*'Scenario Inputs'!$B$14*'Scenario Inputs'!$B$6*'Scenario Inputs'!$B$7),""))))</x:f>
      </x:c>
      <x:c r="H31" s="32" t="str">
        <x:f>IF(OR(G31="",G31=0,'Scenario Inputs'!$B$15="",'Scenario Inputs'!$B$16="",'Scenario Inputs'!$B$17=""),"",IF(C31="toilets","",G31*'Scenario Inputs'!$B$15*'Scenario Inputs'!$B$16/'Scenario Inputs'!$B$17))</x:f>
      </x:c>
    </x:row>
    <x:row r="32" ht="24" customHeight="1">
      <x:c r="A32" s="7" t="str">
        <x:f>'Verified Data'!A32</x:f>
        <x:v>K-22169-BN</x:v>
      </x:c>
      <x:c r="B32" s="7" t="str">
        <x:f>'Verified Data'!B32</x:f>
        <x:v>Statement 12-Inch Barrel Rain Canopy</x:v>
      </x:c>
      <x:c r="C32" s="7" t="str">
        <x:f>'Verified Data'!C32</x:f>
        <x:v>showers</x:v>
      </x:c>
      <x:c r="D32" s="8" t="str">
        <x:f>IF('Verified Data'!D32="Verified","Verified product record","Not verified — estimate withheld")</x:f>
        <x:v>Not verified — estimate withheld</x:v>
      </x:c>
      <x:c r="E32" s="22" t="n">
        <x:f>'Verified Data'!H32</x:f>
        <x:v>0</x:v>
      </x:c>
      <x:c r="F32" s="22" t="n">
        <x:f>'Verified Data'!I32</x:f>
        <x:v>0</x:v>
      </x:c>
      <x:c r="G32" s="32" t="str">
        <x:f>IF(OR('Verified Data'!$D32&lt;&gt;"Verified",'Verified Data'!$G32=""),"",IF(C32="showers",IF(OR(E32="",'Scenario Inputs'!$B$8=""),"",MAX(0,'Scenario Inputs'!$B$8-E32)*'Scenario Inputs'!$B$9*'Scenario Inputs'!$B$10*'Scenario Inputs'!$B$6*'Scenario Inputs'!$B$7),IF(C32="toilets",IF(OR(F32="",'Scenario Inputs'!$B$11=""),"",MAX(0,'Scenario Inputs'!$B$11-F32)*'Scenario Inputs'!$B$12*'Scenario Inputs'!$B$6*'Scenario Inputs'!$B$7),IF(C32="faucets",IF(OR(E32="",'Scenario Inputs'!$B$13="",'Scenario Inputs'!$B$14=""),"",MAX(0,'Scenario Inputs'!$B$13-E32)*'Scenario Inputs'!$B$14*'Scenario Inputs'!$B$6*'Scenario Inputs'!$B$7),""))))</x:f>
      </x:c>
      <x:c r="H32" s="32" t="str">
        <x:f>IF(OR(G32="",G32=0,'Scenario Inputs'!$B$15="",'Scenario Inputs'!$B$16="",'Scenario Inputs'!$B$17=""),"",IF(C32="toilets","",G32*'Scenario Inputs'!$B$15*'Scenario Inputs'!$B$16/'Scenario Inputs'!$B$17))</x:f>
      </x:c>
    </x:row>
    <x:row r="33" ht="24" customHeight="1">
      <x:c r="A33" s="7" t="str">
        <x:f>'Verified Data'!A33</x:f>
        <x:v>K-15996-BL</x:v>
      </x:c>
      <x:c r="B33" s="7" t="str">
        <x:f>'Verified Data'!B33</x:f>
        <x:v>Shift Ellipse Multi-Function Handshower</x:v>
      </x:c>
      <x:c r="C33" s="7" t="str">
        <x:f>'Verified Data'!C33</x:f>
        <x:v>showers</x:v>
      </x:c>
      <x:c r="D33" s="8" t="str">
        <x:f>IF('Verified Data'!D33="Verified","Verified product record","Not verified — estimate withheld")</x:f>
        <x:v>Not verified — estimate withheld</x:v>
      </x:c>
      <x:c r="E33" s="22" t="n">
        <x:f>'Verified Data'!H33</x:f>
        <x:v>0</x:v>
      </x:c>
      <x:c r="F33" s="22" t="n">
        <x:f>'Verified Data'!I33</x:f>
        <x:v>0</x:v>
      </x:c>
      <x:c r="G33" s="32" t="str">
        <x:f>IF(OR('Verified Data'!$D33&lt;&gt;"Verified",'Verified Data'!$G33=""),"",IF(C33="showers",IF(OR(E33="",'Scenario Inputs'!$B$8=""),"",MAX(0,'Scenario Inputs'!$B$8-E33)*'Scenario Inputs'!$B$9*'Scenario Inputs'!$B$10*'Scenario Inputs'!$B$6*'Scenario Inputs'!$B$7),IF(C33="toilets",IF(OR(F33="",'Scenario Inputs'!$B$11=""),"",MAX(0,'Scenario Inputs'!$B$11-F33)*'Scenario Inputs'!$B$12*'Scenario Inputs'!$B$6*'Scenario Inputs'!$B$7),IF(C33="faucets",IF(OR(E33="",'Scenario Inputs'!$B$13="",'Scenario Inputs'!$B$14=""),"",MAX(0,'Scenario Inputs'!$B$13-E33)*'Scenario Inputs'!$B$14*'Scenario Inputs'!$B$6*'Scenario Inputs'!$B$7),""))))</x:f>
      </x:c>
      <x:c r="H33" s="32" t="str">
        <x:f>IF(OR(G33="",G33=0,'Scenario Inputs'!$B$15="",'Scenario Inputs'!$B$16="",'Scenario Inputs'!$B$17=""),"",IF(C33="toilets","",G33*'Scenario Inputs'!$B$15*'Scenario Inputs'!$B$16/'Scenario Inputs'!$B$17))</x:f>
      </x:c>
    </x:row>
    <x:row r="34" ht="24" customHeight="1">
      <x:c r="A34" s="7" t="str">
        <x:f>'Verified Data'!A34</x:f>
        <x:v>K-22170-CP</x:v>
      </x:c>
      <x:c r="B34" s="7" t="str">
        <x:f>'Verified Data'!B34</x:f>
        <x:v>Purist Three-Function Multi-Flow Showerhead</x:v>
      </x:c>
      <x:c r="C34" s="7" t="str">
        <x:f>'Verified Data'!C34</x:f>
        <x:v>showers</x:v>
      </x:c>
      <x:c r="D34" s="8" t="str">
        <x:f>IF('Verified Data'!D34="Verified","Verified product record","Not verified — estimate withheld")</x:f>
        <x:v>Not verified — estimate withheld</x:v>
      </x:c>
      <x:c r="E34" s="22" t="n">
        <x:f>'Verified Data'!H34</x:f>
        <x:v>0</x:v>
      </x:c>
      <x:c r="F34" s="22" t="n">
        <x:f>'Verified Data'!I34</x:f>
        <x:v>0</x:v>
      </x:c>
      <x:c r="G34" s="32" t="str">
        <x:f>IF(OR('Verified Data'!$D34&lt;&gt;"Verified",'Verified Data'!$G34=""),"",IF(C34="showers",IF(OR(E34="",'Scenario Inputs'!$B$8=""),"",MAX(0,'Scenario Inputs'!$B$8-E34)*'Scenario Inputs'!$B$9*'Scenario Inputs'!$B$10*'Scenario Inputs'!$B$6*'Scenario Inputs'!$B$7),IF(C34="toilets",IF(OR(F34="",'Scenario Inputs'!$B$11=""),"",MAX(0,'Scenario Inputs'!$B$11-F34)*'Scenario Inputs'!$B$12*'Scenario Inputs'!$B$6*'Scenario Inputs'!$B$7),IF(C34="faucets",IF(OR(E34="",'Scenario Inputs'!$B$13="",'Scenario Inputs'!$B$14=""),"",MAX(0,'Scenario Inputs'!$B$13-E34)*'Scenario Inputs'!$B$14*'Scenario Inputs'!$B$6*'Scenario Inputs'!$B$7),""))))</x:f>
      </x:c>
      <x:c r="H34" s="32" t="str">
        <x:f>IF(OR(G34="",G34=0,'Scenario Inputs'!$B$15="",'Scenario Inputs'!$B$16="",'Scenario Inputs'!$B$17=""),"",IF(C34="toilets","",G34*'Scenario Inputs'!$B$15*'Scenario Inputs'!$B$16/'Scenario Inputs'!$B$17))</x:f>
      </x:c>
    </x:row>
    <x:row r="35" ht="24" customHeight="1">
      <x:c r="A35" s="7" t="str">
        <x:f>'Verified Data'!A35</x:f>
        <x:v>34050IN-CP</x:v>
      </x:c>
      <x:c r="B35" s="7" t="str">
        <x:f>'Verified Data'!B35</x:f>
        <x:v>APT Square Single-Function Rain Showerhead</x:v>
      </x:c>
      <x:c r="C35" s="7" t="str">
        <x:f>'Verified Data'!C35</x:f>
        <x:v>showers</x:v>
      </x:c>
      <x:c r="D35" s="8" t="str">
        <x:f>IF('Verified Data'!D35="Verified","Verified product record","Not verified — estimate withheld")</x:f>
        <x:v>Not verified — estimate withheld</x:v>
      </x:c>
      <x:c r="E35" s="22" t="n">
        <x:f>'Verified Data'!H35</x:f>
        <x:v>0</x:v>
      </x:c>
      <x:c r="F35" s="22" t="n">
        <x:f>'Verified Data'!I35</x:f>
        <x:v>0</x:v>
      </x:c>
      <x:c r="G35" s="32" t="str">
        <x:f>IF(OR('Verified Data'!$D35&lt;&gt;"Verified",'Verified Data'!$G35=""),"",IF(C35="showers",IF(OR(E35="",'Scenario Inputs'!$B$8=""),"",MAX(0,'Scenario Inputs'!$B$8-E35)*'Scenario Inputs'!$B$9*'Scenario Inputs'!$B$10*'Scenario Inputs'!$B$6*'Scenario Inputs'!$B$7),IF(C35="toilets",IF(OR(F35="",'Scenario Inputs'!$B$11=""),"",MAX(0,'Scenario Inputs'!$B$11-F35)*'Scenario Inputs'!$B$12*'Scenario Inputs'!$B$6*'Scenario Inputs'!$B$7),IF(C35="faucets",IF(OR(E35="",'Scenario Inputs'!$B$13="",'Scenario Inputs'!$B$14=""),"",MAX(0,'Scenario Inputs'!$B$13-E35)*'Scenario Inputs'!$B$14*'Scenario Inputs'!$B$6*'Scenario Inputs'!$B$7),""))))</x:f>
      </x:c>
      <x:c r="H35" s="32" t="str">
        <x:f>IF(OR(G35="",G35=0,'Scenario Inputs'!$B$15="",'Scenario Inputs'!$B$16="",'Scenario Inputs'!$B$17=""),"",IF(C35="toilets","",G35*'Scenario Inputs'!$B$15*'Scenario Inputs'!$B$16/'Scenario Inputs'!$B$17))</x:f>
      </x:c>
    </x:row>
    <x:row r="36" ht="24" customHeight="1">
      <x:c r="A36" s="7" t="str">
        <x:f>'Verified Data'!A36</x:f>
        <x:v>K-99522-1WA</x:v>
      </x:c>
      <x:c r="B36" s="7" t="str">
        <x:f>'Verified Data'!B36</x:f>
        <x:v>Damask 30-Inch Single Bathroom Vanity</x:v>
      </x:c>
      <x:c r="C36" s="7" t="str">
        <x:f>'Verified Data'!C36</x:f>
        <x:v>vanities</x:v>
      </x:c>
      <x:c r="D36" s="8" t="str">
        <x:f>IF('Verified Data'!D36="Verified","Verified product record","Not verified — estimate withheld")</x:f>
        <x:v>Not verified — estimate withheld</x:v>
      </x:c>
      <x:c r="E36" s="22" t="n">
        <x:f>'Verified Data'!H36</x:f>
        <x:v>0</x:v>
      </x:c>
      <x:c r="F36" s="22" t="n">
        <x:f>'Verified Data'!I36</x:f>
        <x:v>0</x:v>
      </x:c>
      <x:c r="G36" s="32" t="str">
        <x:f>IF(OR('Verified Data'!$D36&lt;&gt;"Verified",'Verified Data'!$G36=""),"",IF(C36="showers",IF(OR(E36="",'Scenario Inputs'!$B$8=""),"",MAX(0,'Scenario Inputs'!$B$8-E36)*'Scenario Inputs'!$B$9*'Scenario Inputs'!$B$10*'Scenario Inputs'!$B$6*'Scenario Inputs'!$B$7),IF(C36="toilets",IF(OR(F36="",'Scenario Inputs'!$B$11=""),"",MAX(0,'Scenario Inputs'!$B$11-F36)*'Scenario Inputs'!$B$12*'Scenario Inputs'!$B$6*'Scenario Inputs'!$B$7),IF(C36="faucets",IF(OR(E36="",'Scenario Inputs'!$B$13="",'Scenario Inputs'!$B$14=""),"",MAX(0,'Scenario Inputs'!$B$13-E36)*'Scenario Inputs'!$B$14*'Scenario Inputs'!$B$6*'Scenario Inputs'!$B$7),""))))</x:f>
      </x:c>
      <x:c r="H36" s="32" t="str">
        <x:f>IF(OR(G36="",G36=0,'Scenario Inputs'!$B$15="",'Scenario Inputs'!$B$16="",'Scenario Inputs'!$B$17=""),"",IF(C36="toilets","",G36*'Scenario Inputs'!$B$15*'Scenario Inputs'!$B$16/'Scenario Inputs'!$B$17))</x:f>
      </x:c>
    </x:row>
    <x:row r="37" ht="24" customHeight="1">
      <x:c r="A37" s="7" t="str">
        <x:f>'Verified Data'!A37</x:f>
        <x:v>K-99505-1WA</x:v>
      </x:c>
      <x:c r="B37" s="7" t="str">
        <x:f>'Verified Data'!B37</x:f>
        <x:v>Jacquard 36-Inch Single Bathroom Vanity</x:v>
      </x:c>
      <x:c r="C37" s="7" t="str">
        <x:f>'Verified Data'!C37</x:f>
        <x:v>vanities</x:v>
      </x:c>
      <x:c r="D37" s="8" t="str">
        <x:f>IF('Verified Data'!D37="Verified","Verified product record","Not verified — estimate withheld")</x:f>
        <x:v>Not verified — estimate withheld</x:v>
      </x:c>
      <x:c r="E37" s="22" t="n">
        <x:f>'Verified Data'!H37</x:f>
        <x:v>0</x:v>
      </x:c>
      <x:c r="F37" s="22" t="n">
        <x:f>'Verified Data'!I37</x:f>
        <x:v>0</x:v>
      </x:c>
      <x:c r="G37" s="32" t="str">
        <x:f>IF(OR('Verified Data'!$D37&lt;&gt;"Verified",'Verified Data'!$G37=""),"",IF(C37="showers",IF(OR(E37="",'Scenario Inputs'!$B$8=""),"",MAX(0,'Scenario Inputs'!$B$8-E37)*'Scenario Inputs'!$B$9*'Scenario Inputs'!$B$10*'Scenario Inputs'!$B$6*'Scenario Inputs'!$B$7),IF(C37="toilets",IF(OR(F37="",'Scenario Inputs'!$B$11=""),"",MAX(0,'Scenario Inputs'!$B$11-F37)*'Scenario Inputs'!$B$12*'Scenario Inputs'!$B$6*'Scenario Inputs'!$B$7),IF(C37="faucets",IF(OR(E37="",'Scenario Inputs'!$B$13="",'Scenario Inputs'!$B$14=""),"",MAX(0,'Scenario Inputs'!$B$13-E37)*'Scenario Inputs'!$B$14*'Scenario Inputs'!$B$6*'Scenario Inputs'!$B$7),""))))</x:f>
      </x:c>
      <x:c r="H37" s="32" t="str">
        <x:f>IF(OR(G37="",G37=0,'Scenario Inputs'!$B$15="",'Scenario Inputs'!$B$16="",'Scenario Inputs'!$B$17=""),"",IF(C37="toilets","",G37*'Scenario Inputs'!$B$15*'Scenario Inputs'!$B$16/'Scenario Inputs'!$B$17))</x:f>
      </x:c>
    </x:row>
    <x:row r="38" ht="24" customHeight="1">
      <x:c r="A38" s="7" t="str">
        <x:f>'Verified Data'!A38</x:f>
        <x:v>K-99513-1WA</x:v>
      </x:c>
      <x:c r="B38" s="7" t="str">
        <x:f>'Verified Data'!B38</x:f>
        <x:v>Poplin 24-Inch Compact Bathroom Vanity</x:v>
      </x:c>
      <x:c r="C38" s="7" t="str">
        <x:f>'Verified Data'!C38</x:f>
        <x:v>vanities</x:v>
      </x:c>
      <x:c r="D38" s="8" t="str">
        <x:f>IF('Verified Data'!D38="Verified","Verified product record","Not verified — estimate withheld")</x:f>
        <x:v>Not verified — estimate withheld</x:v>
      </x:c>
      <x:c r="E38" s="22" t="n">
        <x:f>'Verified Data'!H38</x:f>
        <x:v>0</x:v>
      </x:c>
      <x:c r="F38" s="22" t="n">
        <x:f>'Verified Data'!I38</x:f>
        <x:v>0</x:v>
      </x:c>
      <x:c r="G38" s="32" t="str">
        <x:f>IF(OR('Verified Data'!$D38&lt;&gt;"Verified",'Verified Data'!$G38=""),"",IF(C38="showers",IF(OR(E38="",'Scenario Inputs'!$B$8=""),"",MAX(0,'Scenario Inputs'!$B$8-E38)*'Scenario Inputs'!$B$9*'Scenario Inputs'!$B$10*'Scenario Inputs'!$B$6*'Scenario Inputs'!$B$7),IF(C38="toilets",IF(OR(F38="",'Scenario Inputs'!$B$11=""),"",MAX(0,'Scenario Inputs'!$B$11-F38)*'Scenario Inputs'!$B$12*'Scenario Inputs'!$B$6*'Scenario Inputs'!$B$7),IF(C38="faucets",IF(OR(E38="",'Scenario Inputs'!$B$13="",'Scenario Inputs'!$B$14=""),"",MAX(0,'Scenario Inputs'!$B$13-E38)*'Scenario Inputs'!$B$14*'Scenario Inputs'!$B$6*'Scenario Inputs'!$B$7),""))))</x:f>
      </x:c>
      <x:c r="H38" s="32" t="str">
        <x:f>IF(OR(G38="",G38=0,'Scenario Inputs'!$B$15="",'Scenario Inputs'!$B$16="",'Scenario Inputs'!$B$17=""),"",IF(C38="toilets","",G38*'Scenario Inputs'!$B$15*'Scenario Inputs'!$B$16/'Scenario Inputs'!$B$17))</x:f>
      </x:c>
    </x:row>
    <x:row r="39" ht="24" customHeight="1">
      <x:c r="A39" s="7" t="str">
        <x:f>'Verified Data'!A39</x:f>
        <x:v>K-99557-SD</x:v>
      </x:c>
      <x:c r="B39" s="7" t="str">
        <x:f>'Verified Data'!B39</x:f>
        <x:v>Marabou 48-Inch Single Bathroom Vanity</x:v>
      </x:c>
      <x:c r="C39" s="7" t="str">
        <x:f>'Verified Data'!C39</x:f>
        <x:v>vanities</x:v>
      </x:c>
      <x:c r="D39" s="8" t="str">
        <x:f>IF('Verified Data'!D39="Verified","Verified product record","Not verified — estimate withheld")</x:f>
        <x:v>Not verified — estimate withheld</x:v>
      </x:c>
      <x:c r="E39" s="22" t="n">
        <x:f>'Verified Data'!H39</x:f>
        <x:v>0</x:v>
      </x:c>
      <x:c r="F39" s="22" t="n">
        <x:f>'Verified Data'!I39</x:f>
        <x:v>0</x:v>
      </x:c>
      <x:c r="G39" s="32" t="str">
        <x:f>IF(OR('Verified Data'!$D39&lt;&gt;"Verified",'Verified Data'!$G39=""),"",IF(C39="showers",IF(OR(E39="",'Scenario Inputs'!$B$8=""),"",MAX(0,'Scenario Inputs'!$B$8-E39)*'Scenario Inputs'!$B$9*'Scenario Inputs'!$B$10*'Scenario Inputs'!$B$6*'Scenario Inputs'!$B$7),IF(C39="toilets",IF(OR(F39="",'Scenario Inputs'!$B$11=""),"",MAX(0,'Scenario Inputs'!$B$11-F39)*'Scenario Inputs'!$B$12*'Scenario Inputs'!$B$6*'Scenario Inputs'!$B$7),IF(C39="faucets",IF(OR(E39="",'Scenario Inputs'!$B$13="",'Scenario Inputs'!$B$14=""),"",MAX(0,'Scenario Inputs'!$B$13-E39)*'Scenario Inputs'!$B$14*'Scenario Inputs'!$B$6*'Scenario Inputs'!$B$7),""))))</x:f>
      </x:c>
      <x:c r="H39" s="32" t="str">
        <x:f>IF(OR(G39="",G39=0,'Scenario Inputs'!$B$15="",'Scenario Inputs'!$B$16="",'Scenario Inputs'!$B$17=""),"",IF(C39="toilets","",G39*'Scenario Inputs'!$B$15*'Scenario Inputs'!$B$16/'Scenario Inputs'!$B$17))</x:f>
      </x:c>
    </x:row>
    <x:row r="40" ht="24" customHeight="1">
      <x:c r="A40" s="7" t="str">
        <x:f>'Verified Data'!A40</x:f>
        <x:v>K-99541-R</x:v>
      </x:c>
      <x:c r="B40" s="7" t="str">
        <x:f>'Verified Data'!B40</x:f>
        <x:v>Jute 30-Inch Wall-Mount Floating Vanity</x:v>
      </x:c>
      <x:c r="C40" s="7" t="str">
        <x:f>'Verified Data'!C40</x:f>
        <x:v>vanities</x:v>
      </x:c>
      <x:c r="D40" s="8" t="str">
        <x:f>IF('Verified Data'!D40="Verified","Verified product record","Not verified — estimate withheld")</x:f>
        <x:v>Not verified — estimate withheld</x:v>
      </x:c>
      <x:c r="E40" s="22" t="n">
        <x:f>'Verified Data'!H40</x:f>
        <x:v>0</x:v>
      </x:c>
      <x:c r="F40" s="22" t="n">
        <x:f>'Verified Data'!I40</x:f>
        <x:v>0</x:v>
      </x:c>
      <x:c r="G40" s="32" t="str">
        <x:f>IF(OR('Verified Data'!$D40&lt;&gt;"Verified",'Verified Data'!$G40=""),"",IF(C40="showers",IF(OR(E40="",'Scenario Inputs'!$B$8=""),"",MAX(0,'Scenario Inputs'!$B$8-E40)*'Scenario Inputs'!$B$9*'Scenario Inputs'!$B$10*'Scenario Inputs'!$B$6*'Scenario Inputs'!$B$7),IF(C40="toilets",IF(OR(F40="",'Scenario Inputs'!$B$11=""),"",MAX(0,'Scenario Inputs'!$B$11-F40)*'Scenario Inputs'!$B$12*'Scenario Inputs'!$B$6*'Scenario Inputs'!$B$7),IF(C40="faucets",IF(OR(E40="",'Scenario Inputs'!$B$13="",'Scenario Inputs'!$B$14=""),"",MAX(0,'Scenario Inputs'!$B$13-E40)*'Scenario Inputs'!$B$14*'Scenario Inputs'!$B$6*'Scenario Inputs'!$B$7),""))))</x:f>
      </x:c>
      <x:c r="H40" s="32" t="str">
        <x:f>IF(OR(G40="",G40=0,'Scenario Inputs'!$B$15="",'Scenario Inputs'!$B$16="",'Scenario Inputs'!$B$17=""),"",IF(C40="toilets","",G40*'Scenario Inputs'!$B$15*'Scenario Inputs'!$B$16/'Scenario Inputs'!$B$17))</x:f>
      </x:c>
    </x:row>
    <x:row r="41" ht="24" customHeight="1">
      <x:c r="A41" s="7" t="str">
        <x:f>'Verified Data'!A41</x:f>
        <x:v>K-29263-BD1-DWG</x:v>
      </x:c>
      <x:c r="B41" s="7" t="str">
        <x:f>'Verified Data'!B41</x:f>
        <x:v>Charlemont 60 Bathroom Vanity Cabinet</x:v>
      </x:c>
      <x:c r="C41" s="7" t="str">
        <x:f>'Verified Data'!C41</x:f>
        <x:v>vanities</x:v>
      </x:c>
      <x:c r="D41" s="8" t="str">
        <x:f>IF('Verified Data'!D41="Verified","Verified product record","Not verified — estimate withheld")</x:f>
        <x:v>Not verified — estimate withheld</x:v>
      </x:c>
      <x:c r="E41" s="22" t="n">
        <x:f>'Verified Data'!H41</x:f>
        <x:v>0</x:v>
      </x:c>
      <x:c r="F41" s="22" t="n">
        <x:f>'Verified Data'!I41</x:f>
        <x:v>0</x:v>
      </x:c>
      <x:c r="G41" s="32" t="str">
        <x:f>IF(OR('Verified Data'!$D41&lt;&gt;"Verified",'Verified Data'!$G41=""),"",IF(C41="showers",IF(OR(E41="",'Scenario Inputs'!$B$8=""),"",MAX(0,'Scenario Inputs'!$B$8-E41)*'Scenario Inputs'!$B$9*'Scenario Inputs'!$B$10*'Scenario Inputs'!$B$6*'Scenario Inputs'!$B$7),IF(C41="toilets",IF(OR(F41="",'Scenario Inputs'!$B$11=""),"",MAX(0,'Scenario Inputs'!$B$11-F41)*'Scenario Inputs'!$B$12*'Scenario Inputs'!$B$6*'Scenario Inputs'!$B$7),IF(C41="faucets",IF(OR(E41="",'Scenario Inputs'!$B$13="",'Scenario Inputs'!$B$14=""),"",MAX(0,'Scenario Inputs'!$B$13-E41)*'Scenario Inputs'!$B$14*'Scenario Inputs'!$B$6*'Scenario Inputs'!$B$7),""))))</x:f>
      </x:c>
      <x:c r="H41" s="32" t="str">
        <x:f>IF(OR(G41="",G41=0,'Scenario Inputs'!$B$15="",'Scenario Inputs'!$B$16="",'Scenario Inputs'!$B$17=""),"",IF(C41="toilets","",G41*'Scenario Inputs'!$B$15*'Scenario Inputs'!$B$16/'Scenario Inputs'!$B$17))</x:f>
      </x:c>
    </x:row>
    <x:row r="42" ht="24" customHeight="1">
      <x:c r="A42" s="7" t="str">
        <x:f>'Verified Data'!A42</x:f>
        <x:v>K-33545-ASB</x:v>
      </x:c>
      <x:c r="B42" s="7" t="str">
        <x:f>'Verified Data'!B42</x:f>
        <x:v>Southerk 36-Inch Vanity with Quartz Top</x:v>
      </x:c>
      <x:c r="C42" s="7" t="str">
        <x:f>'Verified Data'!C42</x:f>
        <x:v>vanities</x:v>
      </x:c>
      <x:c r="D42" s="8" t="str">
        <x:f>IF('Verified Data'!D42="Verified","Verified product record","Not verified — estimate withheld")</x:f>
        <x:v>Not verified — estimate withheld</x:v>
      </x:c>
      <x:c r="E42" s="22" t="n">
        <x:f>'Verified Data'!H42</x:f>
        <x:v>0</x:v>
      </x:c>
      <x:c r="F42" s="22" t="n">
        <x:f>'Verified Data'!I42</x:f>
        <x:v>0</x:v>
      </x:c>
      <x:c r="G42" s="32" t="str">
        <x:f>IF(OR('Verified Data'!$D42&lt;&gt;"Verified",'Verified Data'!$G42=""),"",IF(C42="showers",IF(OR(E42="",'Scenario Inputs'!$B$8=""),"",MAX(0,'Scenario Inputs'!$B$8-E42)*'Scenario Inputs'!$B$9*'Scenario Inputs'!$B$10*'Scenario Inputs'!$B$6*'Scenario Inputs'!$B$7),IF(C42="toilets",IF(OR(F42="",'Scenario Inputs'!$B$11=""),"",MAX(0,'Scenario Inputs'!$B$11-F42)*'Scenario Inputs'!$B$12*'Scenario Inputs'!$B$6*'Scenario Inputs'!$B$7),IF(C42="faucets",IF(OR(E42="",'Scenario Inputs'!$B$13="",'Scenario Inputs'!$B$14=""),"",MAX(0,'Scenario Inputs'!$B$13-E42)*'Scenario Inputs'!$B$14*'Scenario Inputs'!$B$6*'Scenario Inputs'!$B$7),""))))</x:f>
      </x:c>
      <x:c r="H42" s="32" t="str">
        <x:f>IF(OR(G42="",G42=0,'Scenario Inputs'!$B$15="",'Scenario Inputs'!$B$16="",'Scenario Inputs'!$B$17=""),"",IF(C42="toilets","",G42*'Scenario Inputs'!$B$15*'Scenario Inputs'!$B$16/'Scenario Inputs'!$B$17))</x:f>
      </x:c>
    </x:row>
    <x:row r="43" ht="24" customHeight="1">
      <x:c r="A43" s="7" t="str">
        <x:f>'Verified Data'!A43</x:f>
        <x:v>K-40640-BD1-WEK</x:v>
      </x:c>
      <x:c r="B43" s="7" t="str">
        <x:f>'Verified Data'!B43</x:f>
        <x:v>Kresla 48-Inch Freestanding Vanity</x:v>
      </x:c>
      <x:c r="C43" s="7" t="str">
        <x:f>'Verified Data'!C43</x:f>
        <x:v>vanities</x:v>
      </x:c>
      <x:c r="D43" s="8" t="str">
        <x:f>IF('Verified Data'!D43="Verified","Verified product record","Not verified — estimate withheld")</x:f>
        <x:v>Not verified — estimate withheld</x:v>
      </x:c>
      <x:c r="E43" s="22" t="n">
        <x:f>'Verified Data'!H43</x:f>
        <x:v>0</x:v>
      </x:c>
      <x:c r="F43" s="22" t="n">
        <x:f>'Verified Data'!I43</x:f>
        <x:v>0</x:v>
      </x:c>
      <x:c r="G43" s="32" t="str">
        <x:f>IF(OR('Verified Data'!$D43&lt;&gt;"Verified",'Verified Data'!$G43=""),"",IF(C43="showers",IF(OR(E43="",'Scenario Inputs'!$B$8=""),"",MAX(0,'Scenario Inputs'!$B$8-E43)*'Scenario Inputs'!$B$9*'Scenario Inputs'!$B$10*'Scenario Inputs'!$B$6*'Scenario Inputs'!$B$7),IF(C43="toilets",IF(OR(F43="",'Scenario Inputs'!$B$11=""),"",MAX(0,'Scenario Inputs'!$B$11-F43)*'Scenario Inputs'!$B$12*'Scenario Inputs'!$B$6*'Scenario Inputs'!$B$7),IF(C43="faucets",IF(OR(E43="",'Scenario Inputs'!$B$13="",'Scenario Inputs'!$B$14=""),"",MAX(0,'Scenario Inputs'!$B$13-E43)*'Scenario Inputs'!$B$14*'Scenario Inputs'!$B$6*'Scenario Inputs'!$B$7),""))))</x:f>
      </x:c>
      <x:c r="H43" s="32" t="str">
        <x:f>IF(OR(G43="",G43=0,'Scenario Inputs'!$B$15="",'Scenario Inputs'!$B$16="",'Scenario Inputs'!$B$17=""),"",IF(C43="toilets","",G43*'Scenario Inputs'!$B$15*'Scenario Inputs'!$B$16/'Scenario Inputs'!$B$17))</x:f>
      </x:c>
    </x:row>
    <x:row r="44" ht="24" customHeight="1">
      <x:c r="A44" s="7" t="str">
        <x:f>'Verified Data'!A44</x:f>
        <x:v>K-CM99539-BD1-1WM</x:v>
      </x:c>
      <x:c r="B44" s="7" t="str">
        <x:f>'Verified Data'!B44</x:f>
        <x:v>Tailored 24-Inch Wall-Mount Floating Vanity</x:v>
      </x:c>
      <x:c r="C44" s="7" t="str">
        <x:f>'Verified Data'!C44</x:f>
        <x:v>vanities</x:v>
      </x:c>
      <x:c r="D44" s="8" t="str">
        <x:f>IF('Verified Data'!D44="Verified","Verified product record","Not verified — estimate withheld")</x:f>
        <x:v>Not verified — estimate withheld</x:v>
      </x:c>
      <x:c r="E44" s="22" t="n">
        <x:f>'Verified Data'!H44</x:f>
        <x:v>0</x:v>
      </x:c>
      <x:c r="F44" s="22" t="n">
        <x:f>'Verified Data'!I44</x:f>
        <x:v>0</x:v>
      </x:c>
      <x:c r="G44" s="32" t="str">
        <x:f>IF(OR('Verified Data'!$D44&lt;&gt;"Verified",'Verified Data'!$G44=""),"",IF(C44="showers",IF(OR(E44="",'Scenario Inputs'!$B$8=""),"",MAX(0,'Scenario Inputs'!$B$8-E44)*'Scenario Inputs'!$B$9*'Scenario Inputs'!$B$10*'Scenario Inputs'!$B$6*'Scenario Inputs'!$B$7),IF(C44="toilets",IF(OR(F44="",'Scenario Inputs'!$B$11=""),"",MAX(0,'Scenario Inputs'!$B$11-F44)*'Scenario Inputs'!$B$12*'Scenario Inputs'!$B$6*'Scenario Inputs'!$B$7),IF(C44="faucets",IF(OR(E44="",'Scenario Inputs'!$B$13="",'Scenario Inputs'!$B$14=""),"",MAX(0,'Scenario Inputs'!$B$13-E44)*'Scenario Inputs'!$B$14*'Scenario Inputs'!$B$6*'Scenario Inputs'!$B$7),""))))</x:f>
      </x:c>
      <x:c r="H44" s="32" t="str">
        <x:f>IF(OR(G44="",G44=0,'Scenario Inputs'!$B$15="",'Scenario Inputs'!$B$16="",'Scenario Inputs'!$B$17=""),"",IF(C44="toilets","",G44*'Scenario Inputs'!$B$15*'Scenario Inputs'!$B$16/'Scenario Inputs'!$B$17))</x:f>
      </x:c>
    </x:row>
    <x:row r="45" ht="24" customHeight="1">
      <x:c r="A45" s="7" t="str">
        <x:f>'Verified Data'!A45</x:f>
        <x:v>K-39607-ASB-0</x:v>
      </x:c>
      <x:c r="B45" s="7" t="str">
        <x:f>'Verified Data'!B45</x:f>
        <x:v>Haddon 60-Inch Double Vanity with Marble Top</x:v>
      </x:c>
      <x:c r="C45" s="7" t="str">
        <x:f>'Verified Data'!C45</x:f>
        <x:v>vanities</x:v>
      </x:c>
      <x:c r="D45" s="8" t="str">
        <x:f>IF('Verified Data'!D45="Verified","Verified product record","Not verified — estimate withheld")</x:f>
        <x:v>Not verified — estimate withheld</x:v>
      </x:c>
      <x:c r="E45" s="22" t="n">
        <x:f>'Verified Data'!H45</x:f>
        <x:v>0</x:v>
      </x:c>
      <x:c r="F45" s="22" t="n">
        <x:f>'Verified Data'!I45</x:f>
        <x:v>0</x:v>
      </x:c>
      <x:c r="G45" s="32" t="str">
        <x:f>IF(OR('Verified Data'!$D45&lt;&gt;"Verified",'Verified Data'!$G45=""),"",IF(C45="showers",IF(OR(E45="",'Scenario Inputs'!$B$8=""),"",MAX(0,'Scenario Inputs'!$B$8-E45)*'Scenario Inputs'!$B$9*'Scenario Inputs'!$B$10*'Scenario Inputs'!$B$6*'Scenario Inputs'!$B$7),IF(C45="toilets",IF(OR(F45="",'Scenario Inputs'!$B$11=""),"",MAX(0,'Scenario Inputs'!$B$11-F45)*'Scenario Inputs'!$B$12*'Scenario Inputs'!$B$6*'Scenario Inputs'!$B$7),IF(C45="faucets",IF(OR(E45="",'Scenario Inputs'!$B$13="",'Scenario Inputs'!$B$14=""),"",MAX(0,'Scenario Inputs'!$B$13-E45)*'Scenario Inputs'!$B$14*'Scenario Inputs'!$B$6*'Scenario Inputs'!$B$7),""))))</x:f>
      </x:c>
      <x:c r="H45" s="32" t="str">
        <x:f>IF(OR(G45="",G45=0,'Scenario Inputs'!$B$15="",'Scenario Inputs'!$B$16="",'Scenario Inputs'!$B$17=""),"",IF(C45="toilets","",G45*'Scenario Inputs'!$B$15*'Scenario Inputs'!$B$16/'Scenario Inputs'!$B$17))</x:f>
      </x:c>
    </x:row>
    <x:row r="46" ht="24" customHeight="1">
      <x:c r="A46" s="7" t="str">
        <x:f>'Verified Data'!A46</x:f>
        <x:v>K-1130-0</x:v>
      </x:c>
      <x:c r="B46" s="7" t="str">
        <x:f>'Verified Data'!B46</x:f>
        <x:v>Underscore 60 x 32 Drop-In Soaking Bathtub</x:v>
      </x:c>
      <x:c r="C46" s="7" t="str">
        <x:f>'Verified Data'!C46</x:f>
        <x:v>bathtubs</x:v>
      </x:c>
      <x:c r="D46" s="8" t="str">
        <x:f>IF('Verified Data'!D46="Verified","Verified product record","Not verified — estimate withheld")</x:f>
        <x:v>Not verified — estimate withheld</x:v>
      </x:c>
      <x:c r="E46" s="22" t="n">
        <x:f>'Verified Data'!H46</x:f>
        <x:v>0</x:v>
      </x:c>
      <x:c r="F46" s="22" t="n">
        <x:f>'Verified Data'!I46</x:f>
        <x:v>0</x:v>
      </x:c>
      <x:c r="G46" s="32" t="str">
        <x:f>IF(OR('Verified Data'!$D46&lt;&gt;"Verified",'Verified Data'!$G46=""),"",IF(C46="showers",IF(OR(E46="",'Scenario Inputs'!$B$8=""),"",MAX(0,'Scenario Inputs'!$B$8-E46)*'Scenario Inputs'!$B$9*'Scenario Inputs'!$B$10*'Scenario Inputs'!$B$6*'Scenario Inputs'!$B$7),IF(C46="toilets",IF(OR(F46="",'Scenario Inputs'!$B$11=""),"",MAX(0,'Scenario Inputs'!$B$11-F46)*'Scenario Inputs'!$B$12*'Scenario Inputs'!$B$6*'Scenario Inputs'!$B$7),IF(C46="faucets",IF(OR(E46="",'Scenario Inputs'!$B$13="",'Scenario Inputs'!$B$14=""),"",MAX(0,'Scenario Inputs'!$B$13-E46)*'Scenario Inputs'!$B$14*'Scenario Inputs'!$B$6*'Scenario Inputs'!$B$7),""))))</x:f>
      </x:c>
      <x:c r="H46" s="32" t="str">
        <x:f>IF(OR(G46="",G46=0,'Scenario Inputs'!$B$15="",'Scenario Inputs'!$B$16="",'Scenario Inputs'!$B$17=""),"",IF(C46="toilets","",G46*'Scenario Inputs'!$B$15*'Scenario Inputs'!$B$16/'Scenario Inputs'!$B$17))</x:f>
      </x:c>
    </x:row>
    <x:row r="47" ht="24" customHeight="1">
      <x:c r="A47" s="7" t="str">
        <x:f>'Verified Data'!A47</x:f>
        <x:v>K-6367-0</x:v>
      </x:c>
      <x:c r="B47" s="7" t="str">
        <x:f>'Verified Data'!B47</x:f>
        <x:v>Stargaze 72 x 36 Freestanding Fluted Bathtub</x:v>
      </x:c>
      <x:c r="C47" s="7" t="str">
        <x:f>'Verified Data'!C47</x:f>
        <x:v>bathtubs</x:v>
      </x:c>
      <x:c r="D47" s="8" t="str">
        <x:f>IF('Verified Data'!D47="Verified","Verified product record","Not verified — estimate withheld")</x:f>
        <x:v>Not verified — estimate withheld</x:v>
      </x:c>
      <x:c r="E47" s="22" t="n">
        <x:f>'Verified Data'!H47</x:f>
        <x:v>0</x:v>
      </x:c>
      <x:c r="F47" s="22" t="n">
        <x:f>'Verified Data'!I47</x:f>
        <x:v>0</x:v>
      </x:c>
      <x:c r="G47" s="32" t="str">
        <x:f>IF(OR('Verified Data'!$D47&lt;&gt;"Verified",'Verified Data'!$G47=""),"",IF(C47="showers",IF(OR(E47="",'Scenario Inputs'!$B$8=""),"",MAX(0,'Scenario Inputs'!$B$8-E47)*'Scenario Inputs'!$B$9*'Scenario Inputs'!$B$10*'Scenario Inputs'!$B$6*'Scenario Inputs'!$B$7),IF(C47="toilets",IF(OR(F47="",'Scenario Inputs'!$B$11=""),"",MAX(0,'Scenario Inputs'!$B$11-F47)*'Scenario Inputs'!$B$12*'Scenario Inputs'!$B$6*'Scenario Inputs'!$B$7),IF(C47="faucets",IF(OR(E47="",'Scenario Inputs'!$B$13="",'Scenario Inputs'!$B$14=""),"",MAX(0,'Scenario Inputs'!$B$13-E47)*'Scenario Inputs'!$B$14*'Scenario Inputs'!$B$6*'Scenario Inputs'!$B$7),""))))</x:f>
      </x:c>
      <x:c r="H47" s="32" t="str">
        <x:f>IF(OR(G47="",G47=0,'Scenario Inputs'!$B$15="",'Scenario Inputs'!$B$16="",'Scenario Inputs'!$B$17=""),"",IF(C47="toilets","",G47*'Scenario Inputs'!$B$15*'Scenario Inputs'!$B$16/'Scenario Inputs'!$B$17))</x:f>
      </x:c>
    </x:row>
    <x:row r="48" ht="24" customHeight="1">
      <x:c r="A48" s="7" t="str">
        <x:f>'Verified Data'!A48</x:f>
        <x:v>K-1123-LA-96</x:v>
      </x:c>
      <x:c r="B48" s="7" t="str">
        <x:f>'Verified Data'!B48</x:f>
        <x:v>Archer 60 x 32 Alcove Soaking Bathtub</x:v>
      </x:c>
      <x:c r="C48" s="7" t="str">
        <x:f>'Verified Data'!C48</x:f>
        <x:v>bathtubs</x:v>
      </x:c>
      <x:c r="D48" s="8" t="str">
        <x:f>IF('Verified Data'!D48="Verified","Verified product record","Not verified — estimate withheld")</x:f>
        <x:v>Not verified — estimate withheld</x:v>
      </x:c>
      <x:c r="E48" s="22" t="n">
        <x:f>'Verified Data'!H48</x:f>
        <x:v>0</x:v>
      </x:c>
      <x:c r="F48" s="22" t="n">
        <x:f>'Verified Data'!I48</x:f>
        <x:v>0</x:v>
      </x:c>
      <x:c r="G48" s="32" t="str">
        <x:f>IF(OR('Verified Data'!$D48&lt;&gt;"Verified",'Verified Data'!$G48=""),"",IF(C48="showers",IF(OR(E48="",'Scenario Inputs'!$B$8=""),"",MAX(0,'Scenario Inputs'!$B$8-E48)*'Scenario Inputs'!$B$9*'Scenario Inputs'!$B$10*'Scenario Inputs'!$B$6*'Scenario Inputs'!$B$7),IF(C48="toilets",IF(OR(F48="",'Scenario Inputs'!$B$11=""),"",MAX(0,'Scenario Inputs'!$B$11-F48)*'Scenario Inputs'!$B$12*'Scenario Inputs'!$B$6*'Scenario Inputs'!$B$7),IF(C48="faucets",IF(OR(E48="",'Scenario Inputs'!$B$13="",'Scenario Inputs'!$B$14=""),"",MAX(0,'Scenario Inputs'!$B$13-E48)*'Scenario Inputs'!$B$14*'Scenario Inputs'!$B$6*'Scenario Inputs'!$B$7),""))))</x:f>
      </x:c>
      <x:c r="H48" s="32" t="str">
        <x:f>IF(OR(G48="",G48=0,'Scenario Inputs'!$B$15="",'Scenario Inputs'!$B$16="",'Scenario Inputs'!$B$17=""),"",IF(C48="toilets","",G48*'Scenario Inputs'!$B$15*'Scenario Inputs'!$B$16/'Scenario Inputs'!$B$17))</x:f>
      </x:c>
    </x:row>
    <x:row r="49" ht="24" customHeight="1">
      <x:c r="A49" s="7" t="str">
        <x:f>'Verified Data'!A49</x:f>
        <x:v>K-8332-0</x:v>
      </x:c>
      <x:c r="B49" s="7" t="str">
        <x:f>'Verified Data'!B49</x:f>
        <x:v>Memoirs 60 x 34 Lithocast Freestanding Bathtub</x:v>
      </x:c>
      <x:c r="C49" s="7" t="str">
        <x:f>'Verified Data'!C49</x:f>
        <x:v>bathtubs</x:v>
      </x:c>
      <x:c r="D49" s="8" t="str">
        <x:f>IF('Verified Data'!D49="Verified","Verified product record","Not verified — estimate withheld")</x:f>
        <x:v>Not verified — estimate withheld</x:v>
      </x:c>
      <x:c r="E49" s="22" t="n">
        <x:f>'Verified Data'!H49</x:f>
        <x:v>0</x:v>
      </x:c>
      <x:c r="F49" s="22" t="n">
        <x:f>'Verified Data'!I49</x:f>
        <x:v>0</x:v>
      </x:c>
      <x:c r="G49" s="32" t="str">
        <x:f>IF(OR('Verified Data'!$D49&lt;&gt;"Verified",'Verified Data'!$G49=""),"",IF(C49="showers",IF(OR(E49="",'Scenario Inputs'!$B$8=""),"",MAX(0,'Scenario Inputs'!$B$8-E49)*'Scenario Inputs'!$B$9*'Scenario Inputs'!$B$10*'Scenario Inputs'!$B$6*'Scenario Inputs'!$B$7),IF(C49="toilets",IF(OR(F49="",'Scenario Inputs'!$B$11=""),"",MAX(0,'Scenario Inputs'!$B$11-F49)*'Scenario Inputs'!$B$12*'Scenario Inputs'!$B$6*'Scenario Inputs'!$B$7),IF(C49="faucets",IF(OR(E49="",'Scenario Inputs'!$B$13="",'Scenario Inputs'!$B$14=""),"",MAX(0,'Scenario Inputs'!$B$13-E49)*'Scenario Inputs'!$B$14*'Scenario Inputs'!$B$6*'Scenario Inputs'!$B$7),""))))</x:f>
      </x:c>
      <x:c r="H49" s="32" t="str">
        <x:f>IF(OR(G49="",G49=0,'Scenario Inputs'!$B$15="",'Scenario Inputs'!$B$16="",'Scenario Inputs'!$B$17=""),"",IF(C49="toilets","",G49*'Scenario Inputs'!$B$15*'Scenario Inputs'!$B$16/'Scenario Inputs'!$B$17))</x:f>
      </x:c>
    </x:row>
    <x:row r="50" ht="24" customHeight="1">
      <x:c r="A50" s="7" t="str">
        <x:f>'Verified Data'!A50</x:f>
        <x:v>K-24002-W1-0</x:v>
      </x:c>
      <x:c r="B50" s="7" t="str">
        <x:f>'Verified Data'!B50</x:f>
        <x:v>Sunstruck 60 x 34 Oval Freestanding Bathtub</x:v>
      </x:c>
      <x:c r="C50" s="7" t="str">
        <x:f>'Verified Data'!C50</x:f>
        <x:v>bathtubs</x:v>
      </x:c>
      <x:c r="D50" s="8" t="str">
        <x:f>IF('Verified Data'!D50="Verified","Verified product record","Not verified — estimate withheld")</x:f>
        <x:v>Not verified — estimate withheld</x:v>
      </x:c>
      <x:c r="E50" s="22" t="n">
        <x:f>'Verified Data'!H50</x:f>
        <x:v>0</x:v>
      </x:c>
      <x:c r="F50" s="22" t="n">
        <x:f>'Verified Data'!I50</x:f>
        <x:v>0</x:v>
      </x:c>
      <x:c r="G50" s="32" t="str">
        <x:f>IF(OR('Verified Data'!$D50&lt;&gt;"Verified",'Verified Data'!$G50=""),"",IF(C50="showers",IF(OR(E50="",'Scenario Inputs'!$B$8=""),"",MAX(0,'Scenario Inputs'!$B$8-E50)*'Scenario Inputs'!$B$9*'Scenario Inputs'!$B$10*'Scenario Inputs'!$B$6*'Scenario Inputs'!$B$7),IF(C50="toilets",IF(OR(F50="",'Scenario Inputs'!$B$11=""),"",MAX(0,'Scenario Inputs'!$B$11-F50)*'Scenario Inputs'!$B$12*'Scenario Inputs'!$B$6*'Scenario Inputs'!$B$7),IF(C50="faucets",IF(OR(E50="",'Scenario Inputs'!$B$13="",'Scenario Inputs'!$B$14=""),"",MAX(0,'Scenario Inputs'!$B$13-E50)*'Scenario Inputs'!$B$14*'Scenario Inputs'!$B$6*'Scenario Inputs'!$B$7),""))))</x:f>
      </x:c>
      <x:c r="H50" s="32" t="str">
        <x:f>IF(OR(G50="",G50=0,'Scenario Inputs'!$B$15="",'Scenario Inputs'!$B$16="",'Scenario Inputs'!$B$17=""),"",IF(C50="toilets","",G50*'Scenario Inputs'!$B$15*'Scenario Inputs'!$B$16/'Scenario Inputs'!$B$17))</x:f>
      </x:c>
    </x:row>
    <x:row r="51" ht="24" customHeight="1">
      <x:c r="A51" s="7" t="str">
        <x:f>'Verified Data'!A51</x:f>
        <x:v>K-20201-LA-0</x:v>
      </x:c>
      <x:c r="B51" s="7" t="str">
        <x:f>'Verified Data'!B51</x:f>
        <x:v>Underscore 60 x 30 Alcove Soaking Bathtub</x:v>
      </x:c>
      <x:c r="C51" s="7" t="str">
        <x:f>'Verified Data'!C51</x:f>
        <x:v>bathtubs</x:v>
      </x:c>
      <x:c r="D51" s="8" t="str">
        <x:f>IF('Verified Data'!D51="Verified","Verified product record","Not verified — estimate withheld")</x:f>
        <x:v>Not verified — estimate withheld</x:v>
      </x:c>
      <x:c r="E51" s="22" t="n">
        <x:f>'Verified Data'!H51</x:f>
        <x:v>0</x:v>
      </x:c>
      <x:c r="F51" s="22" t="n">
        <x:f>'Verified Data'!I51</x:f>
        <x:v>0</x:v>
      </x:c>
      <x:c r="G51" s="32" t="str">
        <x:f>IF(OR('Verified Data'!$D51&lt;&gt;"Verified",'Verified Data'!$G51=""),"",IF(C51="showers",IF(OR(E51="",'Scenario Inputs'!$B$8=""),"",MAX(0,'Scenario Inputs'!$B$8-E51)*'Scenario Inputs'!$B$9*'Scenario Inputs'!$B$10*'Scenario Inputs'!$B$6*'Scenario Inputs'!$B$7),IF(C51="toilets",IF(OR(F51="",'Scenario Inputs'!$B$11=""),"",MAX(0,'Scenario Inputs'!$B$11-F51)*'Scenario Inputs'!$B$12*'Scenario Inputs'!$B$6*'Scenario Inputs'!$B$7),IF(C51="faucets",IF(OR(E51="",'Scenario Inputs'!$B$13="",'Scenario Inputs'!$B$14=""),"",MAX(0,'Scenario Inputs'!$B$13-E51)*'Scenario Inputs'!$B$14*'Scenario Inputs'!$B$6*'Scenario Inputs'!$B$7),""))))</x:f>
      </x:c>
      <x:c r="H51" s="32" t="str">
        <x:f>IF(OR(G51="",G51=0,'Scenario Inputs'!$B$15="",'Scenario Inputs'!$B$16="",'Scenario Inputs'!$B$17=""),"",IF(C51="toilets","",G51*'Scenario Inputs'!$B$15*'Scenario Inputs'!$B$16/'Scenario Inputs'!$B$17))</x:f>
      </x:c>
    </x:row>
    <x:row r="52" ht="24" customHeight="1">
      <x:c r="A52" s="7" t="str">
        <x:f>'Verified Data'!A52</x:f>
        <x:v>K-722-0</x:v>
      </x:c>
      <x:c r="B52" s="7" t="str">
        <x:f>'Verified Data'!B52</x:f>
        <x:v>Memoirs 60 x 34 Cast Iron Alcove Bathtub</x:v>
      </x:c>
      <x:c r="C52" s="7" t="str">
        <x:f>'Verified Data'!C52</x:f>
        <x:v>bathtubs</x:v>
      </x:c>
      <x:c r="D52" s="8" t="str">
        <x:f>IF('Verified Data'!D52="Verified","Verified product record","Not verified — estimate withheld")</x:f>
        <x:v>Not verified — estimate withheld</x:v>
      </x:c>
      <x:c r="E52" s="22" t="n">
        <x:f>'Verified Data'!H52</x:f>
        <x:v>0</x:v>
      </x:c>
      <x:c r="F52" s="22" t="n">
        <x:f>'Verified Data'!I52</x:f>
        <x:v>0</x:v>
      </x:c>
      <x:c r="G52" s="32" t="str">
        <x:f>IF(OR('Verified Data'!$D52&lt;&gt;"Verified",'Verified Data'!$G52=""),"",IF(C52="showers",IF(OR(E52="",'Scenario Inputs'!$B$8=""),"",MAX(0,'Scenario Inputs'!$B$8-E52)*'Scenario Inputs'!$B$9*'Scenario Inputs'!$B$10*'Scenario Inputs'!$B$6*'Scenario Inputs'!$B$7),IF(C52="toilets",IF(OR(F52="",'Scenario Inputs'!$B$11=""),"",MAX(0,'Scenario Inputs'!$B$11-F52)*'Scenario Inputs'!$B$12*'Scenario Inputs'!$B$6*'Scenario Inputs'!$B$7),IF(C52="faucets",IF(OR(E52="",'Scenario Inputs'!$B$13="",'Scenario Inputs'!$B$14=""),"",MAX(0,'Scenario Inputs'!$B$13-E52)*'Scenario Inputs'!$B$14*'Scenario Inputs'!$B$6*'Scenario Inputs'!$B$7),""))))</x:f>
      </x:c>
      <x:c r="H52" s="32" t="str">
        <x:f>IF(OR(G52="",G52=0,'Scenario Inputs'!$B$15="",'Scenario Inputs'!$B$16="",'Scenario Inputs'!$B$17=""),"",IF(C52="toilets","",G52*'Scenario Inputs'!$B$15*'Scenario Inputs'!$B$16/'Scenario Inputs'!$B$17))</x:f>
      </x:c>
    </x:row>
    <x:row r="53" ht="24" customHeight="1">
      <x:c r="A53" s="7" t="str">
        <x:f>'Verified Data'!A53</x:f>
        <x:v>K-25831-0</x:v>
      </x:c>
      <x:c r="B53" s="7" t="str">
        <x:f>'Verified Data'!B53</x:f>
        <x:v>Avec 60 x 32 Bathtub</x:v>
      </x:c>
      <x:c r="C53" s="7" t="str">
        <x:f>'Verified Data'!C53</x:f>
        <x:v>bathtubs</x:v>
      </x:c>
      <x:c r="D53" s="8" t="str">
        <x:f>IF('Verified Data'!D53="Verified","Verified product record","Not verified — estimate withheld")</x:f>
        <x:v>Not verified — estimate withheld</x:v>
      </x:c>
      <x:c r="E53" s="22" t="n">
        <x:f>'Verified Data'!H53</x:f>
        <x:v>0</x:v>
      </x:c>
      <x:c r="F53" s="22" t="n">
        <x:f>'Verified Data'!I53</x:f>
        <x:v>0</x:v>
      </x:c>
      <x:c r="G53" s="32" t="str">
        <x:f>IF(OR('Verified Data'!$D53&lt;&gt;"Verified",'Verified Data'!$G53=""),"",IF(C53="showers",IF(OR(E53="",'Scenario Inputs'!$B$8=""),"",MAX(0,'Scenario Inputs'!$B$8-E53)*'Scenario Inputs'!$B$9*'Scenario Inputs'!$B$10*'Scenario Inputs'!$B$6*'Scenario Inputs'!$B$7),IF(C53="toilets",IF(OR(F53="",'Scenario Inputs'!$B$11=""),"",MAX(0,'Scenario Inputs'!$B$11-F53)*'Scenario Inputs'!$B$12*'Scenario Inputs'!$B$6*'Scenario Inputs'!$B$7),IF(C53="faucets",IF(OR(E53="",'Scenario Inputs'!$B$13="",'Scenario Inputs'!$B$14=""),"",MAX(0,'Scenario Inputs'!$B$13-E53)*'Scenario Inputs'!$B$14*'Scenario Inputs'!$B$6*'Scenario Inputs'!$B$7),""))))</x:f>
      </x:c>
      <x:c r="H53" s="32" t="str">
        <x:f>IF(OR(G53="",G53=0,'Scenario Inputs'!$B$15="",'Scenario Inputs'!$B$16="",'Scenario Inputs'!$B$17=""),"",IF(C53="toilets","",G53*'Scenario Inputs'!$B$15*'Scenario Inputs'!$B$16/'Scenario Inputs'!$B$17))</x:f>
      </x:c>
    </x:row>
    <x:row r="54" ht="24" customHeight="1">
      <x:c r="A54" s="7" t="str">
        <x:f>'Verified Data'!A54</x:f>
        <x:v>K-710-P5-0</x:v>
      </x:c>
      <x:c r="B54" s="7" t="str">
        <x:f>'Verified Data'!B54</x:f>
        <x:v>Iron Works 66 x 36 Clawfoot Cast Iron Bathtub</x:v>
      </x:c>
      <x:c r="C54" s="7" t="str">
        <x:f>'Verified Data'!C54</x:f>
        <x:v>bathtubs</x:v>
      </x:c>
      <x:c r="D54" s="8" t="str">
        <x:f>IF('Verified Data'!D54="Verified","Verified product record","Not verified — estimate withheld")</x:f>
        <x:v>Not verified — estimate withheld</x:v>
      </x:c>
      <x:c r="E54" s="22" t="n">
        <x:f>'Verified Data'!H54</x:f>
        <x:v>0</x:v>
      </x:c>
      <x:c r="F54" s="22" t="n">
        <x:f>'Verified Data'!I54</x:f>
        <x:v>0</x:v>
      </x:c>
      <x:c r="G54" s="32" t="str">
        <x:f>IF(OR('Verified Data'!$D54&lt;&gt;"Verified",'Verified Data'!$G54=""),"",IF(C54="showers",IF(OR(E54="",'Scenario Inputs'!$B$8=""),"",MAX(0,'Scenario Inputs'!$B$8-E54)*'Scenario Inputs'!$B$9*'Scenario Inputs'!$B$10*'Scenario Inputs'!$B$6*'Scenario Inputs'!$B$7),IF(C54="toilets",IF(OR(F54="",'Scenario Inputs'!$B$11=""),"",MAX(0,'Scenario Inputs'!$B$11-F54)*'Scenario Inputs'!$B$12*'Scenario Inputs'!$B$6*'Scenario Inputs'!$B$7),IF(C54="faucets",IF(OR(E54="",'Scenario Inputs'!$B$13="",'Scenario Inputs'!$B$14=""),"",MAX(0,'Scenario Inputs'!$B$13-E54)*'Scenario Inputs'!$B$14*'Scenario Inputs'!$B$6*'Scenario Inputs'!$B$7),""))))</x:f>
      </x:c>
      <x:c r="H54" s="32" t="str">
        <x:f>IF(OR(G54="",G54=0,'Scenario Inputs'!$B$15="",'Scenario Inputs'!$B$16="",'Scenario Inputs'!$B$17=""),"",IF(C54="toilets","",G54*'Scenario Inputs'!$B$15*'Scenario Inputs'!$B$16/'Scenario Inputs'!$B$17))</x:f>
      </x:c>
    </x:row>
    <x:row r="55" ht="24" customHeight="1">
      <x:c r="A55" s="7" t="str">
        <x:f>'Verified Data'!A55</x:f>
        <x:v>K-1800-0</x:v>
      </x:c>
      <x:c r="B55" s="7" t="str">
        <x:f>'Verified Data'!B55</x:f>
        <x:v>Abrazo 66 x 31 Lithocast Freestanding Bathtub</x:v>
      </x:c>
      <x:c r="C55" s="7" t="str">
        <x:f>'Verified Data'!C55</x:f>
        <x:v>bathtubs</x:v>
      </x:c>
      <x:c r="D55" s="8" t="str">
        <x:f>IF('Verified Data'!D55="Verified","Verified product record","Not verified — estimate withheld")</x:f>
        <x:v>Not verified — estimate withheld</x:v>
      </x:c>
      <x:c r="E55" s="22" t="n">
        <x:f>'Verified Data'!H55</x:f>
        <x:v>0</x:v>
      </x:c>
      <x:c r="F55" s="22" t="n">
        <x:f>'Verified Data'!I55</x:f>
        <x:v>0</x:v>
      </x:c>
      <x:c r="G55" s="32" t="str">
        <x:f>IF(OR('Verified Data'!$D55&lt;&gt;"Verified",'Verified Data'!$G55=""),"",IF(C55="showers",IF(OR(E55="",'Scenario Inputs'!$B$8=""),"",MAX(0,'Scenario Inputs'!$B$8-E55)*'Scenario Inputs'!$B$9*'Scenario Inputs'!$B$10*'Scenario Inputs'!$B$6*'Scenario Inputs'!$B$7),IF(C55="toilets",IF(OR(F55="",'Scenario Inputs'!$B$11=""),"",MAX(0,'Scenario Inputs'!$B$11-F55)*'Scenario Inputs'!$B$12*'Scenario Inputs'!$B$6*'Scenario Inputs'!$B$7),IF(C55="faucets",IF(OR(E55="",'Scenario Inputs'!$B$13="",'Scenario Inputs'!$B$14=""),"",MAX(0,'Scenario Inputs'!$B$13-E55)*'Scenario Inputs'!$B$14*'Scenario Inputs'!$B$6*'Scenario Inputs'!$B$7),""))))</x:f>
      </x:c>
      <x:c r="H55" s="32" t="str">
        <x:f>IF(OR(G55="",G55=0,'Scenario Inputs'!$B$15="",'Scenario Inputs'!$B$16="",'Scenario Inputs'!$B$17=""),"",IF(C55="toilets","",G55*'Scenario Inputs'!$B$15*'Scenario Inputs'!$B$16/'Scenario Inputs'!$B$17))</x:f>
      </x:c>
    </x:row>
  </x:sheetData>
  <x:pageMargins left="0.7" right="0.7" top="0.75" bottom="0.75" header="0.3" footer="0.3"/>
  <x:tableParts count="1">
    <x:tablePart xmlns:r="http://schemas.openxmlformats.org/officeDocument/2006/relationships" r:id="Rc095c92d7de2453d"/>
  </x:tableParts>
</x:worksheet>
</file>

<file path=xl/worksheets/sheet7.xml><?xml version="1.0" encoding="utf-8"?>
<x:worksheet xmlns:x="http://schemas.openxmlformats.org/spreadsheetml/2006/main">
  <x:sheetPr>
    <x:tabColor rgb="FF16A3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7" hidden="0" customWidth="1"/>
    <x:col min="10" max="10" width="27" hidden="0" customWidth="1"/>
    <x:col min="11" max="11" width="27" hidden="0" customWidth="1"/>
    <x:col min="12" max="12" width="28" hidden="0" customWidth="1"/>
    <x:col min="13" max="13" width="2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Bundle Comparison Template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Enter the exact standard and eco model IDs. Comparisons stay blank until both products, their prices/specs, and the relevant scenario inputs are verified.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5" ht="34" customHeight="1">
      <x:c r="A5" s="6" t="str">
        <x:v>Category</x:v>
      </x:c>
      <x:c r="B5" s="6" t="str">
        <x:v>Standard model ID (input)</x:v>
      </x:c>
      <x:c r="C5" s="6" t="str">
        <x:v>Eco model ID (input)</x:v>
      </x:c>
      <x:c r="D5" s="6" t="str">
        <x:v>Standard verified?</x:v>
      </x:c>
      <x:c r="E5" s="6" t="str">
        <x:v>Eco verified?</x:v>
      </x:c>
      <x:c r="F5" s="6" t="str">
        <x:v>Standard price (USD)</x:v>
      </x:c>
      <x:c r="G5" s="6" t="str">
        <x:v>Eco price (USD)</x:v>
      </x:c>
      <x:c r="H5" s="6" t="str">
        <x:v>Upfront price difference (USD)</x:v>
      </x:c>
      <x:c r="I5" s="6" t="str">
        <x:v>Standard water use (gal/yr)</x:v>
      </x:c>
      <x:c r="J5" s="6" t="str">
        <x:v>Eco water use (gal/yr)</x:v>
      </x:c>
      <x:c r="K5" s="6" t="str">
        <x:v>Water saved (gal/yr)</x:v>
      </x:c>
      <x:c r="L5" s="6" t="str">
        <x:v>Water + sewer savings (USD/yr)</x:v>
      </x:c>
      <x:c r="M5" s="6" t="str">
        <x:v>Simple payback (years)</x:v>
      </x:c>
    </x:row>
    <x:row r="6" ht="24" customHeight="1">
      <x:c r="A6" s="7" t="str">
        <x:v>faucets</x:v>
      </x:c>
      <x:c r="B6" s="8" t="str"/>
      <x:c r="C6" s="8" t="str"/>
      <x:c r="D6" s="7" t="str">
        <x:f>IFERROR(INDEX('Verified Data'!$D$6:$D$55,MATCH(B6,'Verified Data'!$A$6:$A$55,0)),"")</x:f>
      </x:c>
      <x:c r="E6" s="7" t="str">
        <x:f>IFERROR(INDEX('Verified Data'!$D$6:$D$55,MATCH(C6,'Verified Data'!$A$6:$A$55,0)),"")</x:f>
      </x:c>
      <x:c r="F6" s="21" t="str">
        <x:f>IF(OR(D6&lt;&gt;"Verified",B6=""),"",IFERROR(INDEX('Verified Data'!$V$6:$V$55,MATCH(B6,'Verified Data'!$A$6:$A$55,0)),""))</x:f>
      </x:c>
      <x:c r="G6" s="21" t="str">
        <x:f>IF(OR(E6&lt;&gt;"Verified",C6=""),"",IFERROR(INDEX('Verified Data'!$V$6:$V$55,MATCH(C6,'Verified Data'!$A$6:$A$55,0)),""))</x:f>
      </x:c>
      <x:c r="H6" s="21" t="str">
        <x:f>IF(OR(F6="",G6=""),"",G6-F6)</x:f>
      </x:c>
      <x:c r="I6" s="34" t="str">
        <x:f>IF(OR(D6&lt;&gt;"Verified",B6=""),"",IFERROR(IF($A6="showers",INDEX('Verified Data'!$H$6:$H$55,MATCH(B6,'Verified Data'!$A$6:$A$55,0))*'Scenario Inputs'!$B$9*'Scenario Inputs'!$B$10*'Scenario Inputs'!$B$6*'Scenario Inputs'!$B$7,IF($A6="faucets",INDEX('Verified Data'!$H$6:$H$55,MATCH(B6,'Verified Data'!$A$6:$A$55,0))*'Scenario Inputs'!$B$14*'Scenario Inputs'!$B$6*'Scenario Inputs'!$B$7,INDEX('Verified Data'!$I$6:$I$55,MATCH(B6,'Verified Data'!$A$6:$A$55,0))*'Scenario Inputs'!$B$12*'Scenario Inputs'!$B$6*'Scenario Inputs'!$B$7)),""))</x:f>
      </x:c>
      <x:c r="J6" s="34" t="str">
        <x:f>IF(OR(E6&lt;&gt;"Verified",C6=""),"",IFERROR(IF($A6="showers",INDEX('Verified Data'!$H$6:$H$55,MATCH(C6,'Verified Data'!$A$6:$A$55,0))*'Scenario Inputs'!$B$9*'Scenario Inputs'!$B$10*'Scenario Inputs'!$B$6*'Scenario Inputs'!$B$7,IF($A6="faucets",INDEX('Verified Data'!$H$6:$H$55,MATCH(C6,'Verified Data'!$A$6:$A$55,0))*'Scenario Inputs'!$B$14*'Scenario Inputs'!$B$6*'Scenario Inputs'!$B$7,INDEX('Verified Data'!$I$6:$I$55,MATCH(C6,'Verified Data'!$A$6:$A$55,0))*'Scenario Inputs'!$B$12*'Scenario Inputs'!$B$6*'Scenario Inputs'!$B$7)),""))</x:f>
      </x:c>
      <x:c r="K6" s="34" t="str">
        <x:f>IF(OR(I6="",J6=""),"",I6-J6)</x:f>
      </x:c>
      <x:c r="L6" s="21" t="str">
        <x:f>IF(OR(K6="",'Scenario Inputs'!$B$18=""),"",K6*'Scenario Inputs'!$B$18)</x:f>
      </x:c>
      <x:c r="M6" s="36" t="str">
        <x:f>IF(OR(H6="",L6="",H6&lt;=0,L6&lt;=0),"",H6/L6)</x:f>
      </x:c>
    </x:row>
    <x:row r="7" ht="24" customHeight="1">
      <x:c r="A7" s="7" t="str">
        <x:v>showers</x:v>
      </x:c>
      <x:c r="B7" s="8" t="str"/>
      <x:c r="C7" s="8" t="str"/>
      <x:c r="D7" s="7" t="str">
        <x:f>IFERROR(INDEX('Verified Data'!$D$6:$D$55,MATCH(B7,'Verified Data'!$A$6:$A$55,0)),"")</x:f>
      </x:c>
      <x:c r="E7" s="7" t="str">
        <x:f>IFERROR(INDEX('Verified Data'!$D$6:$D$55,MATCH(C7,'Verified Data'!$A$6:$A$55,0)),"")</x:f>
      </x:c>
      <x:c r="F7" s="21" t="str">
        <x:f>IF(OR(D7&lt;&gt;"Verified",B7=""),"",IFERROR(INDEX('Verified Data'!$V$6:$V$55,MATCH(B7,'Verified Data'!$A$6:$A$55,0)),""))</x:f>
      </x:c>
      <x:c r="G7" s="21" t="str">
        <x:f>IF(OR(E7&lt;&gt;"Verified",C7=""),"",IFERROR(INDEX('Verified Data'!$V$6:$V$55,MATCH(C7,'Verified Data'!$A$6:$A$55,0)),""))</x:f>
      </x:c>
      <x:c r="H7" s="21" t="str">
        <x:f>IF(OR(F7="",G7=""),"",G7-F7)</x:f>
      </x:c>
      <x:c r="I7" s="34" t="str">
        <x:f>IF(OR(D7&lt;&gt;"Verified",B7=""),"",IFERROR(IF($A7="showers",INDEX('Verified Data'!$H$6:$H$55,MATCH(B7,'Verified Data'!$A$6:$A$55,0))*'Scenario Inputs'!$B$9*'Scenario Inputs'!$B$10*'Scenario Inputs'!$B$6*'Scenario Inputs'!$B$7,IF($A7="faucets",INDEX('Verified Data'!$H$6:$H$55,MATCH(B7,'Verified Data'!$A$6:$A$55,0))*'Scenario Inputs'!$B$14*'Scenario Inputs'!$B$6*'Scenario Inputs'!$B$7,INDEX('Verified Data'!$I$6:$I$55,MATCH(B7,'Verified Data'!$A$6:$A$55,0))*'Scenario Inputs'!$B$12*'Scenario Inputs'!$B$6*'Scenario Inputs'!$B$7)),""))</x:f>
      </x:c>
      <x:c r="J7" s="34" t="str">
        <x:f>IF(OR(E7&lt;&gt;"Verified",C7=""),"",IFERROR(IF($A7="showers",INDEX('Verified Data'!$H$6:$H$55,MATCH(C7,'Verified Data'!$A$6:$A$55,0))*'Scenario Inputs'!$B$9*'Scenario Inputs'!$B$10*'Scenario Inputs'!$B$6*'Scenario Inputs'!$B$7,IF($A7="faucets",INDEX('Verified Data'!$H$6:$H$55,MATCH(C7,'Verified Data'!$A$6:$A$55,0))*'Scenario Inputs'!$B$14*'Scenario Inputs'!$B$6*'Scenario Inputs'!$B$7,INDEX('Verified Data'!$I$6:$I$55,MATCH(C7,'Verified Data'!$A$6:$A$55,0))*'Scenario Inputs'!$B$12*'Scenario Inputs'!$B$6*'Scenario Inputs'!$B$7)),""))</x:f>
      </x:c>
      <x:c r="K7" s="34" t="str">
        <x:f>IF(OR(I7="",J7=""),"",I7-J7)</x:f>
      </x:c>
      <x:c r="L7" s="21" t="str">
        <x:f>IF(OR(K7="",'Scenario Inputs'!$B$18=""),"",K7*'Scenario Inputs'!$B$18)</x:f>
      </x:c>
      <x:c r="M7" s="36" t="str">
        <x:f>IF(OR(H7="",L7="",H7&lt;=0,L7&lt;=0),"",H7/L7)</x:f>
      </x:c>
    </x:row>
    <x:row r="8" ht="24" customHeight="1">
      <x:c r="A8" s="7" t="str">
        <x:v>toilets</x:v>
      </x:c>
      <x:c r="B8" s="8" t="str"/>
      <x:c r="C8" s="8" t="str"/>
      <x:c r="D8" s="7" t="str">
        <x:f>IFERROR(INDEX('Verified Data'!$D$6:$D$55,MATCH(B8,'Verified Data'!$A$6:$A$55,0)),"")</x:f>
      </x:c>
      <x:c r="E8" s="7" t="str">
        <x:f>IFERROR(INDEX('Verified Data'!$D$6:$D$55,MATCH(C8,'Verified Data'!$A$6:$A$55,0)),"")</x:f>
      </x:c>
      <x:c r="F8" s="21" t="str">
        <x:f>IF(OR(D8&lt;&gt;"Verified",B8=""),"",IFERROR(INDEX('Verified Data'!$V$6:$V$55,MATCH(B8,'Verified Data'!$A$6:$A$55,0)),""))</x:f>
      </x:c>
      <x:c r="G8" s="21" t="str">
        <x:f>IF(OR(E8&lt;&gt;"Verified",C8=""),"",IFERROR(INDEX('Verified Data'!$V$6:$V$55,MATCH(C8,'Verified Data'!$A$6:$A$55,0)),""))</x:f>
      </x:c>
      <x:c r="H8" s="21" t="str">
        <x:f>IF(OR(F8="",G8=""),"",G8-F8)</x:f>
      </x:c>
      <x:c r="I8" s="34" t="str">
        <x:f>IF(OR(D8&lt;&gt;"Verified",B8=""),"",IFERROR(IF($A8="showers",INDEX('Verified Data'!$H$6:$H$55,MATCH(B8,'Verified Data'!$A$6:$A$55,0))*'Scenario Inputs'!$B$9*'Scenario Inputs'!$B$10*'Scenario Inputs'!$B$6*'Scenario Inputs'!$B$7,IF($A8="faucets",INDEX('Verified Data'!$H$6:$H$55,MATCH(B8,'Verified Data'!$A$6:$A$55,0))*'Scenario Inputs'!$B$14*'Scenario Inputs'!$B$6*'Scenario Inputs'!$B$7,INDEX('Verified Data'!$I$6:$I$55,MATCH(B8,'Verified Data'!$A$6:$A$55,0))*'Scenario Inputs'!$B$12*'Scenario Inputs'!$B$6*'Scenario Inputs'!$B$7)),""))</x:f>
      </x:c>
      <x:c r="J8" s="34" t="str">
        <x:f>IF(OR(E8&lt;&gt;"Verified",C8=""),"",IFERROR(IF($A8="showers",INDEX('Verified Data'!$H$6:$H$55,MATCH(C8,'Verified Data'!$A$6:$A$55,0))*'Scenario Inputs'!$B$9*'Scenario Inputs'!$B$10*'Scenario Inputs'!$B$6*'Scenario Inputs'!$B$7,IF($A8="faucets",INDEX('Verified Data'!$H$6:$H$55,MATCH(C8,'Verified Data'!$A$6:$A$55,0))*'Scenario Inputs'!$B$14*'Scenario Inputs'!$B$6*'Scenario Inputs'!$B$7,INDEX('Verified Data'!$I$6:$I$55,MATCH(C8,'Verified Data'!$A$6:$A$55,0))*'Scenario Inputs'!$B$12*'Scenario Inputs'!$B$6*'Scenario Inputs'!$B$7)),""))</x:f>
      </x:c>
      <x:c r="K8" s="34" t="str">
        <x:f>IF(OR(I8="",J8=""),"",I8-J8)</x:f>
      </x:c>
      <x:c r="L8" s="21" t="str">
        <x:f>IF(OR(K8="",'Scenario Inputs'!$B$18=""),"",K8*'Scenario Inputs'!$B$18)</x:f>
      </x:c>
      <x:c r="M8" s="36" t="str">
        <x:f>IF(OR(H8="",L8="",H8&lt;=0,L8&lt;=0),"",H8/L8)</x:f>
      </x:c>
    </x:row>
    <x:row r="9">
      <x:c r="A9" s="12" t="str">
        <x:v>Bundle total</x:v>
      </x:c>
      <x:c r="B9" s="12" t="str"/>
      <x:c r="C9" s="12" t="str"/>
      <x:c r="D9" s="12" t="str"/>
      <x:c r="E9" s="12" t="str"/>
      <x:c r="F9" s="38"/>
      <x:c r="G9" s="38"/>
      <x:c r="H9" s="38" t="str">
        <x:f>IF(COUNT(H6:H8)=0,"",SUM(H6:H8))</x:f>
      </x:c>
      <x:c r="I9" s="39" t="str">
        <x:f>IF(COUNT(I6:I8)=0,"",SUM(I6:I8))</x:f>
      </x:c>
      <x:c r="J9" s="39" t="str">
        <x:f>IF(COUNT(J6:J8)=0,"",SUM(J6:J8))</x:f>
      </x:c>
      <x:c r="K9" s="39" t="str">
        <x:f>IF(COUNT(K6:K8)=0,"",SUM(K6:K8))</x:f>
      </x:c>
      <x:c r="L9" s="38" t="str">
        <x:f>IF(COUNT(L6:L8)=0,"",SUM(L6:L8))</x:f>
      </x:c>
      <x:c r="M9" s="40" t="str">
        <x:f>IF(OR(H9="",L9="",H9&lt;=0,L9&lt;=0),"",H9/L9)</x:f>
      </x:c>
    </x:row>
  </x:sheetData>
  <x:pageMargins left="0.7" right="0.7" top="0.75" bottom="0.75" header="0.3" footer="0.3"/>
  <x:tableParts count="1">
    <x:tablePart xmlns:r="http://schemas.openxmlformats.org/officeDocument/2006/relationships" r:id="R7ee3b2818017472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58" hidden="0" customWidth="1"/>
    <x:col min="3" max="3" width="76" hidden="0" customWidth="1"/>
    <x:col min="4" max="4" width="82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Sources, Definitions &amp; Limits</x:v>
      </x:c>
      <x:c r="B2" s="2"/>
      <x:c r="C2" s="2"/>
      <x:c r="D2" s="2"/>
    </x:row>
    <x:row r="3">
      <x:c r="A3" s="4" t="str">
        <x:v>Use these as the evidence chain for implementation. Save the exact source URL and date for every model-level fact.</x:v>
      </x:c>
      <x:c r="B3" s="4"/>
      <x:c r="C3" s="4"/>
      <x:c r="D3" s="4"/>
    </x:row>
    <x:row r="5" ht="34" customHeight="1">
      <x:c r="A5" s="6" t="str">
        <x:v>Source / concept</x:v>
      </x:c>
      <x:c r="B5" s="6" t="str">
        <x:v>What to use it for</x:v>
      </x:c>
      <x:c r="C5" s="6" t="str">
        <x:v>Reference URL</x:v>
      </x:c>
      <x:c r="D5" s="6" t="str">
        <x:v>Implementation note</x:v>
      </x:c>
    </x:row>
    <x:row r="6" ht="44" customHeight="1">
      <x:c r="A6" s="11" t="str">
        <x:v>EPA WaterSense Product Search</x:v>
      </x:c>
      <x:c r="B6" s="11" t="str">
        <x:v>Exact labeled model lookup; downloadable XLSX includes efficiency information.</x:v>
      </x:c>
      <x:c r="C6" s="11" t="str">
        <x:v>https://lookforwatersense.epa.gov/products/</x:v>
      </x:c>
      <x:c r="D6" s="11" t="str">
        <x:v>Download current list and retain retrieval date. Match exact model/variant; do not infer certification from GPM.</x:v>
      </x:c>
    </x:row>
    <x:row r="7" ht="44" customHeight="1">
      <x:c r="A7" s="11" t="str">
        <x:v>EPA WaterSense Calculator</x:v>
      </x:c>
      <x:c r="B7" s="11" t="str">
        <x:v>Water, energy and dollar estimation assumptions for home use.</x:v>
      </x:c>
      <x:c r="C7" s="11" t="str">
        <x:v>https://www.epa.gov/watersense/how-watersense-calculator-works</x:v>
      </x:c>
      <x:c r="D7" s="11" t="str">
        <x:v>EPA notes realized results vary; expose assumptions and label outcomes as estimates.</x:v>
      </x:c>
    </x:row>
    <x:row r="8" ht="44" customHeight="1">
      <x:c r="A8" s="11" t="str">
        <x:v>EPA showerhead supporting statement</x:v>
      </x:c>
      <x:c r="B8" s="11" t="str">
        <x:v>Published average shower flow, duration and frequency assumptions.</x:v>
      </x:c>
      <x:c r="C8" s="11" t="str">
        <x:v>https://www.epa.gov/sites/default/files/2017-01/documents/ws-products-support-statement-showerheads.pdf</x:v>
      </x:c>
      <x:c r="D8" s="11" t="str">
        <x:v>Assumptions are national estimates; allow users to replace with their actual use.</x:v>
      </x:c>
    </x:row>
    <x:row r="9" ht="44" customHeight="1">
      <x:c r="A9" s="11" t="str">
        <x:v>EPA full product export (CSV ZIP)</x:v>
      </x:c>
      <x:c r="B9" s="11" t="str">
        <x:v>Current complete EPA WaterSense list used for this 50-item model lookup.</x:v>
      </x:c>
      <x:c r="C9" s="11" t="str">
        <x:v>https://lookforwatersense.epa.gov/products/</x:v>
      </x:c>
      <x:c r="D9" s="11" t="str">
        <x:v>Downloaded from EPA’s “Download products CSV” control on 2026-10-05. Export files were parsed by category and Kohler rows were matched by model-number base.</x:v>
      </x:c>
    </x:row>
    <x:row r="10" ht="44" customHeight="1">
      <x:c r="A10" s="11" t="str">
        <x:v>EPA Water Efficiency Management Guide</x:v>
      </x:c>
      <x:c r="B10" s="11" t="str">
        <x:v>Bathroom water and water-heating calculation methods.</x:v>
      </x:c>
      <x:c r="C10" s="11" t="str">
        <x:v>https://nepis.epa.gov/Exe/ZyPURL.cgi?Dockey=P100TFZF.txt</x:v>
      </x:c>
      <x:c r="D10" s="11" t="str">
        <x:v>Use fixture-appropriate equations and account for heater type/efficiency.</x:v>
      </x:c>
    </x:row>
    <x:row r="11" ht="44" customHeight="1">
      <x:c r="A11" s="11" t="str">
        <x:v>Kohler WaterSense collection</x:v>
      </x:c>
      <x:c r="B11" s="11" t="str">
        <x:v>Manufacturer product discovery, model numbers, category claims, and possible EPD/product details.</x:v>
      </x:c>
      <x:c r="C11" s="11" t="str">
        <x:v>https://www.kohler.com/en/products/cross-category/epd/watersense-products</x:v>
      </x:c>
      <x:c r="D11" s="11" t="str">
        <x:v>Use individual model pages / official technical documents as the record source. This collection is not a complete product master.</x:v>
      </x:c>
    </x:row>
    <x:row r="12" ht="44" customHeight="1">
      <x:c r="A12" s="11" t="str">
        <x:v>U.S. Access Board ADA turning space</x:v>
      </x:c>
      <x:c r="B12" s="11" t="str">
        <x:v>Reference for a specific ADA turning-space check in relevant contexts.</x:v>
      </x:c>
      <x:c r="C12" s="11" t="str">
        <x:v>https://www.access-board.gov/ada/guides/chapter-3-clear-floor-or-ground-space-and-turning-space/</x:v>
      </x:c>
      <x:c r="D12" s="11" t="str">
        <x:v>ADA requirements depend on facility/context; identify applicable rule and jurisdiction.</x:v>
      </x:c>
    </x:row>
    <x:row r="13" ht="44" customHeight="1">
      <x:c r="A13" s="11" t="str">
        <x:v>Spatial density</x:v>
      </x:c>
      <x:c r="B13" s="11" t="str">
        <x:v>Derived from room dimensions and fixture geometry.</x:v>
      </x:c>
      <x:c r="C13" s="11" t="str">
        <x:v>Project layout dimensions + verified manufacturer footprints</x:v>
      </x:c>
      <x:c r="D13" s="11" t="str">
        <x:v>Define numerator/denominator (occupied area or clear floor area). Do not source this from GPM or product category.</x:v>
      </x:c>
    </x:row>
    <x:row r="14" ht="44" customHeight="1">
      <x:c r="A14" s="11" t="str">
        <x:v>NKBA guidance</x:v>
      </x:c>
      <x:c r="B14" s="11" t="str">
        <x:v>Bathroom planning clearance recommendation, if licensed/available to the project.</x:v>
      </x:c>
      <x:c r="C14" s="11" t="str">
        <x:v>https://www.nkba.org/</x:v>
      </x:c>
      <x:c r="D14" s="11" t="str">
        <x:v>Use the applicable guideline edition and preserve attribution; not interchangeable with adopted building-code compliance.</x:v>
      </x:c>
    </x:row>
  </x:sheetData>
  <x:pageMargins left="0.7" right="0.7" top="0.75" bottom="0.75" header="0.3" footer="0.3"/>
  <x:tableParts count="1">
    <x:tablePart xmlns:r="http://schemas.openxmlformats.org/officeDocument/2006/relationships" r:id="R56f1afcc5b8a44f7"/>
  </x:tableParts>
</x:worksheet>
</file>